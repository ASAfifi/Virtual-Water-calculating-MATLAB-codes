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H\Professor Kim\2023AllData\MATLAB_Trial\"/>
    </mc:Choice>
  </mc:AlternateContent>
  <xr:revisionPtr revIDLastSave="0" documentId="13_ncr:1_{2AA9C411-ACBA-425C-BF54-EF42361F24F9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Crop_Productionorganized1" sheetId="1" r:id="rId1"/>
    <sheet name="Annual_Crops" sheetId="4" r:id="rId2"/>
    <sheet name="Perennial_Crops" sheetId="3" r:id="rId3"/>
    <sheet name="Sheet4" sheetId="5" r:id="rId4"/>
    <sheet name="Anise_Badian_Fennel_Coriander" sheetId="2" r:id="rId5"/>
  </sheets>
  <externalReferences>
    <externalReference r:id="rId6"/>
  </externalReferences>
  <definedNames>
    <definedName name="_xlnm._FilterDatabase" localSheetId="0" hidden="1">Crop_Productionorganized1!$A$1:$J$1</definedName>
    <definedName name="_xlnm._FilterDatabase" localSheetId="2" hidden="1">Perennial_Crops!$A$1:$G$1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4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" i="4"/>
  <c r="F3" i="4"/>
  <c r="F2" i="4"/>
  <c r="F6" i="2"/>
  <c r="D6" i="2"/>
  <c r="E6" i="2"/>
  <c r="B6" i="2"/>
  <c r="C6" i="2"/>
  <c r="F5" i="2"/>
  <c r="F4" i="2"/>
  <c r="F3" i="2"/>
  <c r="F2" i="2"/>
  <c r="S35" i="1" a="1"/>
  <c r="S35" i="1" s="1"/>
  <c r="F74" i="1"/>
  <c r="F7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3" i="1"/>
  <c r="F72" i="1"/>
  <c r="F71" i="1"/>
  <c r="F69" i="1"/>
  <c r="F68" i="1"/>
  <c r="F67" i="1"/>
  <c r="F66" i="1"/>
  <c r="F65" i="1"/>
  <c r="F64" i="1"/>
  <c r="F63" i="1"/>
  <c r="F62" i="1"/>
  <c r="F61" i="1"/>
  <c r="F60" i="1"/>
  <c r="F59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6" i="1"/>
  <c r="F7" i="1"/>
  <c r="F8" i="1"/>
  <c r="F9" i="1"/>
  <c r="F10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<sst xmlns="http://schemas.openxmlformats.org/spreadsheetml/2006/main" count="717" uniqueCount="336">
  <si>
    <t>Crop</t>
  </si>
  <si>
    <t>Initial days</t>
  </si>
  <si>
    <t>Development days</t>
  </si>
  <si>
    <t>Middle days</t>
  </si>
  <si>
    <t>Late days</t>
  </si>
  <si>
    <t>Total days</t>
  </si>
  <si>
    <t>Kc Init</t>
  </si>
  <si>
    <t>Kc Mid</t>
  </si>
  <si>
    <t>Kc End</t>
  </si>
  <si>
    <t>Max Crop Height (m)</t>
  </si>
  <si>
    <t>Agave fibres nes</t>
  </si>
  <si>
    <t>Almonds, with shell</t>
  </si>
  <si>
    <t>Anise, badian, fennel, coriander</t>
  </si>
  <si>
    <t>Apples</t>
  </si>
  <si>
    <t>*no ground cover, no frosts</t>
  </si>
  <si>
    <t>Apricots</t>
  </si>
  <si>
    <t>Areca nuts</t>
  </si>
  <si>
    <t>Artichok</t>
  </si>
  <si>
    <t>Asparagus</t>
  </si>
  <si>
    <t>0.2-0.8</t>
  </si>
  <si>
    <t>*mediterranean</t>
  </si>
  <si>
    <t>Avocados</t>
  </si>
  <si>
    <t>*no ground cover</t>
  </si>
  <si>
    <t>Banana 1 year</t>
  </si>
  <si>
    <t>Banana 2 year</t>
  </si>
  <si>
    <t>Barley</t>
  </si>
  <si>
    <t>*Central India</t>
  </si>
  <si>
    <t>Beetroot</t>
  </si>
  <si>
    <t>*didnt have</t>
  </si>
  <si>
    <t>Beans</t>
  </si>
  <si>
    <t>*green beans, mediterranean</t>
  </si>
  <si>
    <t>*bushes</t>
  </si>
  <si>
    <t>Blueberries</t>
  </si>
  <si>
    <t>Brazil nuts, with shell</t>
  </si>
  <si>
    <t>Broccoli</t>
  </si>
  <si>
    <t>Brussel Sprouts</t>
  </si>
  <si>
    <t>Buckwheat</t>
  </si>
  <si>
    <t>Cabbage</t>
  </si>
  <si>
    <t>Cacao (Cocoa beans)</t>
  </si>
  <si>
    <t>Canary seed</t>
  </si>
  <si>
    <t>Carobs</t>
  </si>
  <si>
    <t>Carrots</t>
  </si>
  <si>
    <t>Cashew nuts, with shell</t>
  </si>
  <si>
    <t>Cassava 1 year</t>
  </si>
  <si>
    <t>*apparently it's a 2year thing in rainforests</t>
  </si>
  <si>
    <t>Cassava 2 year</t>
  </si>
  <si>
    <t>Cauliflowers</t>
  </si>
  <si>
    <t>Celery</t>
  </si>
  <si>
    <t>*didnt have (this is for semi arid climate)</t>
  </si>
  <si>
    <t>Cereals nes</t>
  </si>
  <si>
    <t>Cereal Total</t>
  </si>
  <si>
    <t>Cherries</t>
  </si>
  <si>
    <t>Chestnut</t>
  </si>
  <si>
    <t>Chick peas</t>
  </si>
  <si>
    <t>Chillies and peppers dry</t>
  </si>
  <si>
    <t>Chillies and peppers green</t>
  </si>
  <si>
    <t>Cinnamon (cannella)</t>
  </si>
  <si>
    <t>Citrus</t>
  </si>
  <si>
    <t>*mediterranean,  50% canopy, no ground cover</t>
  </si>
  <si>
    <t>Cloves</t>
  </si>
  <si>
    <t>Coconuts</t>
  </si>
  <si>
    <t>Coffee, green</t>
  </si>
  <si>
    <t>Cotton seed</t>
  </si>
  <si>
    <t>1.15-1.20</t>
  </si>
  <si>
    <t>0.70-0.50</t>
  </si>
  <si>
    <t>1.2-1.5</t>
  </si>
  <si>
    <t>Cranberries</t>
  </si>
  <si>
    <t>Cucumbers and gherkins</t>
  </si>
  <si>
    <t>*cucumber</t>
  </si>
  <si>
    <t>Currants</t>
  </si>
  <si>
    <t>Date</t>
  </si>
  <si>
    <t>Eggplants (aubergines)</t>
  </si>
  <si>
    <t>*arid</t>
  </si>
  <si>
    <t>Fibre crops nes</t>
  </si>
  <si>
    <t>Figs</t>
  </si>
  <si>
    <t>Flax fibre and tow</t>
  </si>
  <si>
    <t xml:space="preserve">Fruit </t>
  </si>
  <si>
    <t>Garlic</t>
  </si>
  <si>
    <t>Ginger</t>
  </si>
  <si>
    <t>Grain</t>
  </si>
  <si>
    <t>Grapefruit (inc. pomelos)</t>
  </si>
  <si>
    <t>Grapes</t>
  </si>
  <si>
    <t>*Mid Latitudes (wine)</t>
  </si>
  <si>
    <t>Grondnut</t>
  </si>
  <si>
    <t>Hazelnuts, with shell</t>
  </si>
  <si>
    <t>Hempseed</t>
  </si>
  <si>
    <t>Hops</t>
  </si>
  <si>
    <t>*Idaho</t>
  </si>
  <si>
    <t>Jute</t>
  </si>
  <si>
    <t>Kiwi fruit</t>
  </si>
  <si>
    <t>Leeks, other alliaceous vegetables</t>
  </si>
  <si>
    <t>Lemons and limes</t>
  </si>
  <si>
    <t>Lentils</t>
  </si>
  <si>
    <t>*europe</t>
  </si>
  <si>
    <t>Lettuce and chicory</t>
  </si>
  <si>
    <t>*Letuce mediterranean</t>
  </si>
  <si>
    <t>Linseed</t>
  </si>
  <si>
    <t>Lupins</t>
  </si>
  <si>
    <t>Maize</t>
  </si>
  <si>
    <t>Maize green</t>
  </si>
  <si>
    <t>Mango mangostien guava</t>
  </si>
  <si>
    <t>Melon</t>
  </si>
  <si>
    <t>Millet</t>
  </si>
  <si>
    <t>*Pakistan</t>
  </si>
  <si>
    <t>Mint</t>
  </si>
  <si>
    <t>0.6-0.8</t>
  </si>
  <si>
    <t>Mushrooms and truffles</t>
  </si>
  <si>
    <t>Mustard seed</t>
  </si>
  <si>
    <t>Nutmeg, mace and cardamoms</t>
  </si>
  <si>
    <t>Nuts nes</t>
  </si>
  <si>
    <t>Oats</t>
  </si>
  <si>
    <t>Okra</t>
  </si>
  <si>
    <t>Olives</t>
  </si>
  <si>
    <t>*40 to 60% ground coverage by canopy</t>
  </si>
  <si>
    <t>Onions, dry</t>
  </si>
  <si>
    <t>Onions, shallots, green</t>
  </si>
  <si>
    <t>Oranges</t>
  </si>
  <si>
    <t>Papayas</t>
  </si>
  <si>
    <t>Peaches and nectarines</t>
  </si>
  <si>
    <t>Pears</t>
  </si>
  <si>
    <t>Peas, dry</t>
  </si>
  <si>
    <t>Pepper</t>
  </si>
  <si>
    <t>Peppermint</t>
  </si>
  <si>
    <t>Pineapples</t>
  </si>
  <si>
    <t>0.6-1.2</t>
  </si>
  <si>
    <t>*Hawaii</t>
  </si>
  <si>
    <t>Pistachios</t>
  </si>
  <si>
    <t>Plantains and others</t>
  </si>
  <si>
    <t>Plums and sloes</t>
  </si>
  <si>
    <t>Poppy seed</t>
  </si>
  <si>
    <t>Potato</t>
  </si>
  <si>
    <t>*continental climate</t>
  </si>
  <si>
    <t>Pulses</t>
  </si>
  <si>
    <t>Pumpkins, squash and gourds</t>
  </si>
  <si>
    <t>Quinoa</t>
  </si>
  <si>
    <t>Radish</t>
  </si>
  <si>
    <t>*didnt have (Europe)</t>
  </si>
  <si>
    <t>Rapeseed</t>
  </si>
  <si>
    <t>Raspberries</t>
  </si>
  <si>
    <t>Rice</t>
  </si>
  <si>
    <t>0.90-0.60</t>
  </si>
  <si>
    <t>*Tropics</t>
  </si>
  <si>
    <t>Roots and tubers nes</t>
  </si>
  <si>
    <t>Rye</t>
  </si>
  <si>
    <t>Sesame seed</t>
  </si>
  <si>
    <t>*China</t>
  </si>
  <si>
    <t>Sorghum</t>
  </si>
  <si>
    <t>1.00-1.10</t>
  </si>
  <si>
    <t>Soybean</t>
  </si>
  <si>
    <t>0.5-1.0</t>
  </si>
  <si>
    <t>*Japan</t>
  </si>
  <si>
    <t>Spinach</t>
  </si>
  <si>
    <t>Strawberries</t>
  </si>
  <si>
    <t>Sugar Beet</t>
  </si>
  <si>
    <t>Sugar Cane</t>
  </si>
  <si>
    <t>*virgin, there was also ratoon, dont know whats the difference, Tropics</t>
  </si>
  <si>
    <t>Sunflower</t>
  </si>
  <si>
    <t>Sweet peppers</t>
  </si>
  <si>
    <t>Sweet potatoes</t>
  </si>
  <si>
    <t>Tangerines, mandarins, clementines, satsumas</t>
  </si>
  <si>
    <t>Taro (cocoyam)</t>
  </si>
  <si>
    <t>Tea</t>
  </si>
  <si>
    <t>Tobacco</t>
  </si>
  <si>
    <t>Tomato</t>
  </si>
  <si>
    <t>0.70-0.90</t>
  </si>
  <si>
    <t>Treenuts, Total</t>
  </si>
  <si>
    <t>Turnip</t>
  </si>
  <si>
    <t>Vanilla</t>
  </si>
  <si>
    <t>Vegetable</t>
  </si>
  <si>
    <t>Walnuts, with shell</t>
  </si>
  <si>
    <t>*Utah</t>
  </si>
  <si>
    <t>Watermelons</t>
  </si>
  <si>
    <t>*Italy</t>
  </si>
  <si>
    <t>Wheat</t>
  </si>
  <si>
    <t>Yams</t>
  </si>
  <si>
    <t>Zuccini</t>
  </si>
  <si>
    <r>
      <t>1.0-1.15</t>
    </r>
    <r>
      <rPr>
        <vertAlign val="superscript"/>
        <sz val="11"/>
        <color theme="1"/>
        <rFont val="Calibri"/>
        <family val="2"/>
        <scheme val="minor"/>
      </rPr>
      <t>9</t>
    </r>
  </si>
  <si>
    <t>1-2</t>
  </si>
  <si>
    <t>2-3</t>
  </si>
  <si>
    <t>1.5-2</t>
  </si>
  <si>
    <t>3-5</t>
  </si>
  <si>
    <t>4-5</t>
  </si>
  <si>
    <t>*arid climete, there was also mediterranean and california desert</t>
  </si>
  <si>
    <t>*added broccoli here because it's timing is different from cauliflower</t>
  </si>
  <si>
    <t>*Europe</t>
  </si>
  <si>
    <t>Sept</t>
  </si>
  <si>
    <t>Oct/Jan</t>
  </si>
  <si>
    <t>Oct</t>
  </si>
  <si>
    <t>Nov/Jan</t>
  </si>
  <si>
    <t>April</t>
  </si>
  <si>
    <t>April/May</t>
  </si>
  <si>
    <t>Apr; Sep/Oct</t>
  </si>
  <si>
    <t>Mar/Apr</t>
  </si>
  <si>
    <t>October</t>
  </si>
  <si>
    <t>April/June</t>
  </si>
  <si>
    <t>*didnt have (Europe&amp;Med)</t>
  </si>
  <si>
    <t>January</t>
  </si>
  <si>
    <t>June/Aug</t>
  </si>
  <si>
    <t>Mar, Aug</t>
  </si>
  <si>
    <t>*Med</t>
  </si>
  <si>
    <t>Apr; Dec.</t>
  </si>
  <si>
    <t>*didnt have it (Med&amp;arid)</t>
  </si>
  <si>
    <t>Apr/May</t>
  </si>
  <si>
    <t>*didnt have (Med)</t>
  </si>
  <si>
    <t>Rainy</t>
  </si>
  <si>
    <t>Season</t>
  </si>
  <si>
    <t>May</t>
  </si>
  <si>
    <t>November</t>
  </si>
  <si>
    <t>Feb/Mar</t>
  </si>
  <si>
    <t>May/June</t>
  </si>
  <si>
    <t>*Arid</t>
  </si>
  <si>
    <t>Oct/Nov</t>
  </si>
  <si>
    <t>June</t>
  </si>
  <si>
    <t>*california (Perennial)</t>
  </si>
  <si>
    <t>Feb</t>
  </si>
  <si>
    <t>*mediterranean (Perennial)</t>
  </si>
  <si>
    <t>Mar-May</t>
  </si>
  <si>
    <t>*Egypt; Pakistan; Calif.</t>
  </si>
  <si>
    <t>*mediterranean, Calif</t>
  </si>
  <si>
    <t>Dec/Jan</t>
  </si>
  <si>
    <t>*grain Arid</t>
  </si>
  <si>
    <t>Oct/Dec</t>
  </si>
  <si>
    <t>*sweet? Arid</t>
  </si>
  <si>
    <t>Mar/April</t>
  </si>
  <si>
    <t>Alfaalfa 1st cutting cycle</t>
  </si>
  <si>
    <t>Alfaalfa other cutting cycles</t>
  </si>
  <si>
    <t>Jan Apr (last - 4°C)</t>
  </si>
  <si>
    <t>Mar</t>
  </si>
  <si>
    <t>*Calif.</t>
  </si>
  <si>
    <t>Planting Season</t>
  </si>
  <si>
    <t>NA</t>
  </si>
  <si>
    <t>Jan</t>
  </si>
  <si>
    <t>March</t>
  </si>
  <si>
    <t>Planting date north</t>
  </si>
  <si>
    <t>Planting date south</t>
  </si>
  <si>
    <t>Refrence North</t>
  </si>
  <si>
    <t>Refrence south</t>
  </si>
  <si>
    <t>Refrence days</t>
  </si>
  <si>
    <t>Refrence Kc</t>
  </si>
  <si>
    <t>Refrence Kc north</t>
  </si>
  <si>
    <t>Refrence Kc South</t>
  </si>
  <si>
    <t>Crop Coefficient (Kc) value for each month of the year in a country or region in the Northern Hemisphere</t>
  </si>
  <si>
    <t>January, February, March, April, May, June, July, August, September, October, November, December</t>
  </si>
  <si>
    <t>Crop Coefficient (Kc) value for each month of the year in a country or region in the Southern Hemisphere</t>
  </si>
  <si>
    <t>References in the Southern Hemisphere</t>
  </si>
  <si>
    <t>References in the Northern Hemisphere</t>
  </si>
  <si>
    <t>Name of country Southern Hemisphere</t>
  </si>
  <si>
    <t>Name of country Northern Hemisphere</t>
  </si>
  <si>
    <t>Almonds</t>
  </si>
  <si>
    <t>California, USA</t>
  </si>
  <si>
    <t>0.35, 0.45, 0.60, 0.90, 1.15, 1.25, 1.20, 1.10, 0.95, 0.75, 0.50, 0.35</t>
  </si>
  <si>
    <t>Goldhamer, D. A., &amp; Fereres, E. (2001). Irrigation scheduling protocols using continuously recorded trunk diameter measurements. Irrigation Science, 20(3), 115-125.</t>
  </si>
  <si>
    <t>Refrence Height</t>
  </si>
  <si>
    <t>Italy</t>
  </si>
  <si>
    <t>Di Bella, C.M., Minacapilli, M., and Allegra, M. (2019). Crop coefficients of apple trees grown in a semi-arid environment: Comparison between field measurements and theoretical estimations. Agricultural Water Management, 214, 184-194.</t>
  </si>
  <si>
    <t>0.45, 0.45, 0.45, 0.45, 0.75, 0.8, 0.9, 0.9, 0.75, 0.6, 0.45, 0.45</t>
  </si>
  <si>
    <t>0.7, 0.7, 0.7, 0.8, 0.9, 1.0, 0.95, 0.9, 0.8, 0.7, 0.7, 0.7</t>
  </si>
  <si>
    <t>Phakathi, A., Jewitt, G., and Everson, C. (2016). Crop coefficients for apples (Malus pumila Mill.) grown under drip irrigation in South Africa. Water SA, 42(4), 620-626.</t>
  </si>
  <si>
    <t>South Africa</t>
  </si>
  <si>
    <t>0.2, 0.35, 0.5, 0.55, 0.65, 0.75, 0.8, 0.8, 0.7, 0.6, 0.4, 0.25</t>
  </si>
  <si>
    <t>Spain</t>
  </si>
  <si>
    <t>López-Urrea, R., García-Vila, M., Latorre, B., &amp; Aragüés, R. (2007). Crop coefficients for deficit irrigation conditions in apricot trees (Prunus armeniaca L.). Agricultural Water Management, 87(3), 265-274.</t>
  </si>
  <si>
    <t>Anise</t>
  </si>
  <si>
    <t>Mafakheri, S., Kashi, A. K., &amp; Honar, T. (2015). Study on germination and early growth stages of anise (Pimpinella anisum L.) under different priming treatments. Journal of Agricultural Science and Technology, 17(6), 1415-1423.</t>
  </si>
  <si>
    <t>Allen, R. G., Pereira, L. S., Raes, D., &amp; Smith, M. (1998). Crop evapotranspiration: guidelines for computing crop water requirements. FAO Irrigation and drainage paper, 56, 300(9), D05109.</t>
  </si>
  <si>
    <t>Andrić, L. R., Kiprovski, B. M., Tančić, S. P., &amp; Zdravković, J. M. (2012). Morphological diversity of anise (Pimpinella anisum L.) populations. Genetika, 44(1), 65-76.</t>
  </si>
  <si>
    <t>Name North</t>
  </si>
  <si>
    <t>Name South</t>
  </si>
  <si>
    <t>Iran</t>
  </si>
  <si>
    <t>Australia</t>
  </si>
  <si>
    <t>Department of Primary Industries and Regional Development. (2021). Anise: A guide to agronomy and quality. Government of Western Australia.</t>
  </si>
  <si>
    <t>Badian</t>
  </si>
  <si>
    <t>Fennel</t>
  </si>
  <si>
    <t>Coriander</t>
  </si>
  <si>
    <t>Janošević, D., Tadić, V., Milošević, T., &amp; Dabić, D. (2012). Quality and yield of fennel (Foeniculum vulgare Mill.) fruits as influenced by row spacing and seed rate. Journal of Medicinal Plants Research, 6(4), 635-642.</t>
  </si>
  <si>
    <t>Ahuja, I., Gupta, S., &amp; Sharma, S. (2017). Effect of seed rates and planting geometries on growth, yield and economics of Badian (Foeniculum vulgare Mill.) in Himachal Pradesh. Journal of Pharmacognosy and Phytochemistry, 6(6), 2450-2453.</t>
  </si>
  <si>
    <t>India</t>
  </si>
  <si>
    <t>Singh, G., Singh, P., Singh, R. K., &amp; Kumar, M. (2020). A review on cultivation of fennel (Foeniculum vulgare Mill.) under different agro-climatic conditions in India. International Journal of Chemical Studies, 8(2), 1440-1444.</t>
  </si>
  <si>
    <t>April-May</t>
  </si>
  <si>
    <t>May-June</t>
  </si>
  <si>
    <t>November-December</t>
  </si>
  <si>
    <t>Department of Primary Industries and Regional Development. (2021). Badian. Retrieved from https://www.agric.wa.gov.au/crops/vegetables/fennel-bulb-and-herb</t>
  </si>
  <si>
    <t>October-November</t>
  </si>
  <si>
    <t>Janošević, D., Šunić, L., &amp; Glamočlija, Đ. (2012). The effect of different plant densities on the yield and yield components of fennel (Foeniculum vulgare var. azoricum). Acta agriculturae Serbica, 17(34), 7-14. https://doi.org/10.5937/AASer1234007J</t>
  </si>
  <si>
    <t>United States Department of Agriculture (USDA). (2020). Fennel production in California. https://www.nass.usda.gov/Statistics_by_State/California/Publications/Vegetables/2019/Fennel_Production_in_California_2019.pdf</t>
  </si>
  <si>
    <t>March-April</t>
  </si>
  <si>
    <t>Frabboni, L., D'Antonio, A., Mazzella, G., &amp; Capecchi, L. (2014). Fennel (Foeniculum vulgare Mill.) as a valuable crop for biomass and essential oil production in Italy. Industrial Crops and Products, 62, 1-5. https://doi.org/10.1016/j.indcrop.2014.07.013</t>
  </si>
  <si>
    <t>September-October</t>
  </si>
  <si>
    <t>Queensland Government. (2022). Fennel. https://www.daf.qld.gov.au/business-priorities/horticulture/vegetables/growing-vegetables-in-queensland/crop-recipes/fennel</t>
  </si>
  <si>
    <t>National Horticulture Board. (2019). Coriander Production in India. Retrieved from https://nhb.gov.in/horticulture-crops/coriander/</t>
  </si>
  <si>
    <t>Department of Agriculture, Water and the Environment. (2021). Coriander. Retrieved from https://www.awri.com.au/wp-content/uploads/2021/01/Coriander.pdf</t>
  </si>
  <si>
    <t>multiple</t>
  </si>
  <si>
    <t>Reference days</t>
  </si>
  <si>
    <t>Reference Kc</t>
  </si>
  <si>
    <t>Reference Height</t>
  </si>
  <si>
    <t>Reference North</t>
  </si>
  <si>
    <t>Reference south</t>
  </si>
  <si>
    <t>0.15, 0.16, 0.18, 0.22, 0.27, 0.31, 0.35, 0.35, 0.32, 0.27, 0.21, 0.16</t>
  </si>
  <si>
    <t>Singh, A. K., &amp; Singh, D. (2009). Crop coefficient (Kc) of areca nut (Areca catechu L.) under drip irrigation. Journal of Agricultural Science, 1(2), 102-109.</t>
  </si>
  <si>
    <t>Northern India</t>
  </si>
  <si>
    <t>Notes</t>
  </si>
  <si>
    <t>Is a perennial crop but often planted as annual. We assume all artichokes are in their first year, treated as annual</t>
  </si>
  <si>
    <t xml:space="preserve">April </t>
  </si>
  <si>
    <t>September</t>
  </si>
  <si>
    <t>California Artichoke Advisory Board. (2021). Artichoke Production in California. https://artichokes.org/artichoke-production-in-california/</t>
  </si>
  <si>
    <t>February</t>
  </si>
  <si>
    <t>0.65, 0.65, 0.75, 0.80, 0.85, 0.90, 1.00, 1.00, 0.95, 0.90, 0.80, 0.75</t>
  </si>
  <si>
    <t>0.89, 0.96, 1.01, 1.01, 0.93, 0.76, 0.62, 0.62, 0.76, 0.84, 0.89, 0.89</t>
  </si>
  <si>
    <t xml:space="preserve">Chile </t>
  </si>
  <si>
    <t>Goldhamer, D. A., &amp; Fereres, E. (2001). Irrigation scheduling protocols using continuously recorded trunk diameter measurements. Irrigation Science, 20(3), 115-125. https://doi.org/10.1007/s002710100039</t>
  </si>
  <si>
    <t>Ortega-Farias, S., Olioso, A., Antonioletti, R., &amp; Brisson, N. 2010). Evaluation of the Penman-Monteith model for estimating avocado (Persea americana Mill.) evapotranspiration in a semiarid environment. Agricultural Water Management, 97(7), 970-976. https://doi.org/10.1016/j.agwat.2010.01.021</t>
  </si>
  <si>
    <t>Mediterranean</t>
  </si>
  <si>
    <t>Banana trees usually produce fruit after a year of being planted but we assume all banan trees are in their second year</t>
  </si>
  <si>
    <t>Central India</t>
  </si>
  <si>
    <t>Berries</t>
  </si>
  <si>
    <t>Gooseberries</t>
  </si>
  <si>
    <t>Annual</t>
  </si>
  <si>
    <t>Perennial</t>
  </si>
  <si>
    <r>
      <t>0.60-0.35</t>
    </r>
    <r>
      <rPr>
        <vertAlign val="superscript"/>
        <sz val="11"/>
        <color rgb="FF00B050"/>
        <rFont val="Calibri"/>
        <family val="2"/>
        <scheme val="minor"/>
      </rPr>
      <t>11</t>
    </r>
  </si>
  <si>
    <r>
      <t>1.0-1.15</t>
    </r>
    <r>
      <rPr>
        <vertAlign val="superscript"/>
        <sz val="11"/>
        <color rgb="FF00B050"/>
        <rFont val="Calibri"/>
        <family val="2"/>
        <scheme val="minor"/>
      </rPr>
      <t>9</t>
    </r>
  </si>
  <si>
    <r>
      <t>0.25-0.4</t>
    </r>
    <r>
      <rPr>
        <vertAlign val="superscript"/>
        <sz val="11"/>
        <color rgb="FF00B050"/>
        <rFont val="Calibri"/>
        <family val="2"/>
        <scheme val="minor"/>
      </rPr>
      <t>10</t>
    </r>
  </si>
  <si>
    <t>August</t>
  </si>
  <si>
    <t>December</t>
  </si>
  <si>
    <t>Coffee</t>
  </si>
  <si>
    <t>0.85, 0.85, 0.85, 0.9, 0.95, 0.95, 0.95, 0.95, 0.95, 0.95, 0.9, 0.9</t>
  </si>
  <si>
    <t>Hawaii,USA</t>
  </si>
  <si>
    <t>Crop_name</t>
  </si>
  <si>
    <t>0.42, 0.42, 0.42, 0.42, 0.42, 0.42, 0.42, 0.42, 0.42, 0.42, 0.42, 0.42</t>
  </si>
  <si>
    <t>General</t>
  </si>
  <si>
    <t>0.5, 0.5, 0.5, 0.5, 0.5, 0.5, 0.5, 0.5, 0.5, 0.5, 0.5, 0.5</t>
  </si>
  <si>
    <t>0.95, 0.95, 0.95, 0.95, 0.95, 0.95, 0.95, 0.95, 0.95, 0.95, 0.95, 0.95</t>
  </si>
  <si>
    <t>1.05, 1.05, 1.05, 1.05, 1.05, 1.05, 1.05, 1.05, 1.05, 1.05, 1.05, 1.05</t>
  </si>
  <si>
    <t>0.75, 0.75, 0.75, 0.75, 0.75, 0.75, 0.75, 0.75, 0.75, 0.75, 0.75, 0.75</t>
  </si>
  <si>
    <t>0.35, 0.35, 0.35, 0.35, 0.35, 0.35, 0.35, 0.35, 0.35, 0.35, 0.35, 0.35</t>
  </si>
  <si>
    <t>0.7, 0.7, 0.7, 0.7, 0.7, 0.7, 0.7, 0.7, 0.7, 0.7, 0.7, 0.7</t>
  </si>
  <si>
    <t>0.65, 0.65, 0.65, 0.65, 0.65, 0.65, 0.65, 0.65, 0.65, 0.65, 0.65, 0.65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</si>
</sst>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vertAlign val="superscript"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374151"/>
      <name val="Segoe UI"/>
      <family val="2"/>
    </font>
    <font>
      <sz val="11"/>
      <name val="Calibri"/>
      <family val="2"/>
      <charset val="238"/>
      <scheme val="minor"/>
    </font>
    <font>
      <sz val="10"/>
      <color rgb="FFFF0000"/>
      <name val="Segoe UI"/>
      <family val="2"/>
    </font>
    <font>
      <b/>
      <sz val="10"/>
      <color rgb="FF343541"/>
      <name val="Segoe UI"/>
      <family val="2"/>
    </font>
    <font>
      <b/>
      <sz val="10"/>
      <color rgb="FFFF0000"/>
      <name val="Segoe UI"/>
      <family val="2"/>
    </font>
    <font>
      <sz val="11"/>
      <color rgb="FF00B050"/>
      <name val="Calibri"/>
      <family val="2"/>
      <charset val="238"/>
      <scheme val="minor"/>
    </font>
    <font>
      <sz val="10"/>
      <color rgb="FF00B050"/>
      <name val="Arial"/>
      <family val="2"/>
    </font>
    <font>
      <vertAlign val="superscript"/>
      <sz val="11"/>
      <color rgb="FF00B050"/>
      <name val="Calibri"/>
      <family val="2"/>
      <scheme val="minor"/>
    </font>
    <font>
      <sz val="11"/>
      <color theme="5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ck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7">
    <xf numFmtId="0" fontId="0" fillId="0" borderId="0" xfId="0"/>
    <xf numFmtId="16" fontId="0" fillId="0" borderId="0" xfId="0" applyNumberFormat="1"/>
    <xf numFmtId="0" fontId="0" fillId="0" borderId="10" xfId="0" applyBorder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49" fontId="0" fillId="0" borderId="0" xfId="0" applyNumberFormat="1" applyAlignment="1">
      <alignment horizontal="right"/>
    </xf>
    <xf numFmtId="0" fontId="20" fillId="0" borderId="0" xfId="0" applyFont="1"/>
    <xf numFmtId="0" fontId="0" fillId="0" borderId="0" xfId="0" applyAlignment="1">
      <alignment wrapText="1"/>
    </xf>
    <xf numFmtId="0" fontId="14" fillId="33" borderId="11" xfId="0" applyFont="1" applyFill="1" applyBorder="1"/>
    <xf numFmtId="0" fontId="0" fillId="34" borderId="11" xfId="0" applyFill="1" applyBorder="1"/>
    <xf numFmtId="0" fontId="0" fillId="0" borderId="11" xfId="0" applyBorder="1"/>
    <xf numFmtId="0" fontId="21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5" fillId="0" borderId="10" xfId="0" applyFont="1" applyBorder="1" applyAlignment="1">
      <alignment horizontal="right"/>
    </xf>
    <xf numFmtId="49" fontId="15" fillId="0" borderId="0" xfId="0" applyNumberFormat="1" applyFont="1" applyAlignment="1">
      <alignment horizontal="right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vertical="center"/>
    </xf>
    <xf numFmtId="0" fontId="23" fillId="0" borderId="0" xfId="0" applyFont="1"/>
    <xf numFmtId="49" fontId="0" fillId="0" borderId="0" xfId="0" applyNumberFormat="1"/>
    <xf numFmtId="0" fontId="17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right"/>
    </xf>
    <xf numFmtId="0" fontId="26" fillId="0" borderId="10" xfId="0" applyFont="1" applyBorder="1" applyAlignment="1">
      <alignment horizontal="right"/>
    </xf>
    <xf numFmtId="16" fontId="26" fillId="0" borderId="0" xfId="0" applyNumberFormat="1" applyFont="1"/>
    <xf numFmtId="0" fontId="27" fillId="0" borderId="0" xfId="0" applyFont="1"/>
    <xf numFmtId="49" fontId="26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10" xfId="0" applyFont="1" applyBorder="1" applyAlignment="1">
      <alignment horizontal="right"/>
    </xf>
    <xf numFmtId="49" fontId="22" fillId="0" borderId="0" xfId="0" applyNumberFormat="1" applyFont="1" applyAlignment="1">
      <alignment horizontal="right"/>
    </xf>
    <xf numFmtId="0" fontId="29" fillId="0" borderId="0" xfId="0" applyFont="1"/>
    <xf numFmtId="0" fontId="29" fillId="0" borderId="0" xfId="0" applyFont="1" applyAlignment="1">
      <alignment horizontal="right"/>
    </xf>
    <xf numFmtId="0" fontId="29" fillId="0" borderId="10" xfId="0" applyFont="1" applyBorder="1" applyAlignment="1">
      <alignment horizontal="right"/>
    </xf>
    <xf numFmtId="49" fontId="29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Kutools%20for%20Excel\Loading" TargetMode="External"/><Relationship Id="rId1" Type="http://schemas.openxmlformats.org/officeDocument/2006/relationships/externalLinkPath" Target="file:///C:\Program%20Files%20(x86)\Kutools%20for%20Excel\Load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do"/>
      <sheetName val="Temporary"/>
      <sheetName val="CalendarTemplate"/>
      <sheetName val="Kutools for Excel"/>
      <sheetName val="Default"/>
      <sheetName val="Paste"/>
      <sheetName val="Temporary1"/>
      <sheetName val="SearchID"/>
      <sheetName val="Loading"/>
    </sheetNames>
    <definedNames>
      <definedName name="_xldudf_GPT_GPTPROMP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J134" totalsRowShown="0">
  <autoFilter ref="A1:J134" xr:uid="{00000000-0009-0000-0100-000001000000}"/>
  <tableColumns count="10">
    <tableColumn id="1" xr3:uid="{00000000-0010-0000-0000-000001000000}" name="Crop"/>
    <tableColumn id="2" xr3:uid="{00000000-0010-0000-0000-000002000000}" name="Initial days" dataDxfId="8"/>
    <tableColumn id="3" xr3:uid="{00000000-0010-0000-0000-000003000000}" name="Development days" dataDxfId="7"/>
    <tableColumn id="4" xr3:uid="{00000000-0010-0000-0000-000004000000}" name="Middle days" dataDxfId="6"/>
    <tableColumn id="5" xr3:uid="{00000000-0010-0000-0000-000005000000}" name="Late days" dataDxfId="5"/>
    <tableColumn id="6" xr3:uid="{00000000-0010-0000-0000-000006000000}" name="Total days" dataDxfId="4"/>
    <tableColumn id="7" xr3:uid="{00000000-0010-0000-0000-000007000000}" name="Kc Init" dataDxfId="3"/>
    <tableColumn id="8" xr3:uid="{00000000-0010-0000-0000-000008000000}" name="Kc Mid" dataDxfId="2"/>
    <tableColumn id="9" xr3:uid="{00000000-0010-0000-0000-000009000000}" name="Kc End" dataDxfId="1"/>
    <tableColumn id="10" xr3:uid="{00000000-0010-0000-0000-00000A000000}" name="Max Crop Height (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AAB81F-9BED-4B9A-8E40-A779288AFE9F}">
  <we:reference id="wa200005171" version="1.0.0.0" store="en-US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4"/>
  <sheetViews>
    <sheetView zoomScale="70" zoomScaleNormal="70" workbookViewId="0">
      <selection activeCell="K4" sqref="K4"/>
    </sheetView>
  </sheetViews>
  <sheetFormatPr defaultRowHeight="14.5" x14ac:dyDescent="0.35"/>
  <cols>
    <col min="2" max="2" width="12.6328125" customWidth="1"/>
    <col min="3" max="3" width="19.6328125" customWidth="1"/>
    <col min="4" max="4" width="14" customWidth="1"/>
    <col min="5" max="5" width="11.36328125" customWidth="1"/>
    <col min="6" max="6" width="12" style="2" customWidth="1"/>
    <col min="10" max="10" width="21.453125" customWidth="1"/>
    <col min="15" max="15" width="16.54296875" bestFit="1" customWidth="1"/>
    <col min="16" max="16" width="16.6328125" bestFit="1" customWidth="1"/>
    <col min="17" max="17" width="13.6328125" bestFit="1" customWidth="1"/>
    <col min="18" max="18" width="13.453125" bestFit="1" customWidth="1"/>
    <col min="19" max="19" width="12.453125" bestFit="1" customWidth="1"/>
    <col min="20" max="20" width="10.6328125" bestFit="1" customWidth="1"/>
    <col min="21" max="21" width="15.6328125" bestFit="1" customWidth="1"/>
    <col min="22" max="22" width="15.9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229</v>
      </c>
      <c r="O1" t="s">
        <v>233</v>
      </c>
      <c r="P1" t="s">
        <v>234</v>
      </c>
      <c r="Q1" t="s">
        <v>235</v>
      </c>
      <c r="R1" t="s">
        <v>236</v>
      </c>
      <c r="S1" t="s">
        <v>237</v>
      </c>
      <c r="T1" t="s">
        <v>238</v>
      </c>
      <c r="U1" t="s">
        <v>239</v>
      </c>
      <c r="V1" t="s">
        <v>240</v>
      </c>
    </row>
    <row r="2" spans="1:22" x14ac:dyDescent="0.35">
      <c r="A2" t="s">
        <v>10</v>
      </c>
      <c r="B2" s="3"/>
      <c r="C2" s="3"/>
      <c r="D2" s="3"/>
      <c r="E2" s="3"/>
      <c r="F2" s="4">
        <f>SUM(Tabela1[[#This Row],[Initial days]:[Late days]])</f>
        <v>0</v>
      </c>
      <c r="G2" s="5"/>
      <c r="H2" s="5"/>
      <c r="I2" s="5"/>
      <c r="J2" s="5"/>
    </row>
    <row r="3" spans="1:22" x14ac:dyDescent="0.35">
      <c r="A3" s="24" t="s">
        <v>11</v>
      </c>
      <c r="B3" s="3"/>
      <c r="C3" s="3"/>
      <c r="D3" s="3"/>
      <c r="E3" s="3"/>
      <c r="F3" s="4">
        <f>SUM(Tabela1[[#This Row],[Initial days]:[Late days]])</f>
        <v>0</v>
      </c>
      <c r="G3" s="3">
        <v>0.4</v>
      </c>
      <c r="H3" s="3">
        <v>0.9</v>
      </c>
      <c r="I3" s="3">
        <v>0.65180000000000005</v>
      </c>
      <c r="J3" s="5">
        <v>5</v>
      </c>
    </row>
    <row r="4" spans="1:22" x14ac:dyDescent="0.35">
      <c r="A4" s="12" t="s">
        <v>224</v>
      </c>
      <c r="B4" s="13">
        <v>10</v>
      </c>
      <c r="C4" s="13">
        <v>20</v>
      </c>
      <c r="D4" s="13">
        <v>20</v>
      </c>
      <c r="E4" s="13">
        <v>10</v>
      </c>
      <c r="F4" s="14">
        <v>60</v>
      </c>
      <c r="G4" s="13">
        <v>0.4</v>
      </c>
      <c r="H4" s="13">
        <v>0.95130000000000003</v>
      </c>
      <c r="I4" s="13">
        <v>0.9</v>
      </c>
      <c r="J4" s="15"/>
      <c r="K4" t="s">
        <v>226</v>
      </c>
      <c r="M4" s="7" t="s">
        <v>228</v>
      </c>
    </row>
    <row r="5" spans="1:22" x14ac:dyDescent="0.35">
      <c r="A5" s="12" t="s">
        <v>225</v>
      </c>
      <c r="B5" s="13">
        <v>5</v>
      </c>
      <c r="C5" s="13">
        <v>10</v>
      </c>
      <c r="D5" s="13">
        <v>10</v>
      </c>
      <c r="E5" s="13">
        <v>5</v>
      </c>
      <c r="F5" s="14">
        <v>30</v>
      </c>
      <c r="G5" s="13">
        <v>0.40139999999999998</v>
      </c>
      <c r="H5" s="13">
        <v>1.2014</v>
      </c>
      <c r="I5" s="13">
        <v>1.1499999999999999</v>
      </c>
      <c r="J5" s="15"/>
      <c r="K5" s="6" t="s">
        <v>227</v>
      </c>
      <c r="M5" s="7" t="s">
        <v>228</v>
      </c>
    </row>
    <row r="6" spans="1:22" x14ac:dyDescent="0.35">
      <c r="A6" s="24" t="s">
        <v>12</v>
      </c>
      <c r="B6" s="3"/>
      <c r="C6" s="3"/>
      <c r="D6" s="3"/>
      <c r="E6" s="3"/>
      <c r="F6" s="4">
        <f>SUM(Tabela1[[#This Row],[Initial days]:[Late days]])</f>
        <v>0</v>
      </c>
      <c r="G6" s="5"/>
      <c r="H6" s="5"/>
      <c r="I6" s="5"/>
      <c r="J6" s="5"/>
    </row>
    <row r="7" spans="1:22" x14ac:dyDescent="0.35">
      <c r="A7" s="24" t="s">
        <v>13</v>
      </c>
      <c r="B7" s="3"/>
      <c r="C7" s="3"/>
      <c r="D7" s="3"/>
      <c r="E7" s="3"/>
      <c r="F7" s="4">
        <f>SUM(Tabela1[[#This Row],[Initial days]:[Late days]])</f>
        <v>0</v>
      </c>
      <c r="G7" s="3">
        <v>0.6</v>
      </c>
      <c r="H7" s="3">
        <v>0.95</v>
      </c>
      <c r="I7" s="3">
        <v>0.75180000000000002</v>
      </c>
      <c r="J7" s="5">
        <v>4</v>
      </c>
      <c r="M7" t="s">
        <v>14</v>
      </c>
    </row>
    <row r="8" spans="1:22" x14ac:dyDescent="0.35">
      <c r="A8" s="24" t="s">
        <v>15</v>
      </c>
      <c r="B8" s="3"/>
      <c r="C8" s="3"/>
      <c r="D8" s="3"/>
      <c r="E8" s="3"/>
      <c r="F8" s="4">
        <f>SUM(Tabela1[[#This Row],[Initial days]:[Late days]])</f>
        <v>0</v>
      </c>
      <c r="G8" s="3">
        <v>0.55000000000000004</v>
      </c>
      <c r="H8" s="3">
        <v>0.9</v>
      </c>
      <c r="I8" s="3">
        <v>0.65180000000000005</v>
      </c>
      <c r="J8" s="5">
        <v>3</v>
      </c>
      <c r="M8" t="s">
        <v>14</v>
      </c>
    </row>
    <row r="9" spans="1:22" x14ac:dyDescent="0.35">
      <c r="A9" s="24" t="s">
        <v>16</v>
      </c>
      <c r="B9" s="3"/>
      <c r="C9" s="3"/>
      <c r="D9" s="3"/>
      <c r="E9" s="3"/>
      <c r="F9" s="4">
        <f>SUM(Tabela1[[#This Row],[Initial days]:[Late days]])</f>
        <v>0</v>
      </c>
      <c r="G9" s="5"/>
      <c r="H9" s="5"/>
      <c r="I9" s="5"/>
      <c r="J9" s="5"/>
    </row>
    <row r="10" spans="1:22" x14ac:dyDescent="0.35">
      <c r="A10" s="24" t="s">
        <v>17</v>
      </c>
      <c r="B10" s="3">
        <v>40</v>
      </c>
      <c r="C10" s="3">
        <v>40</v>
      </c>
      <c r="D10" s="3">
        <v>250</v>
      </c>
      <c r="E10" s="3">
        <v>30</v>
      </c>
      <c r="F10" s="4">
        <f>SUM(Tabela1[[#This Row],[Initial days]:[Late days]])</f>
        <v>360</v>
      </c>
      <c r="G10" s="3">
        <v>0.5</v>
      </c>
      <c r="H10" s="3">
        <v>1</v>
      </c>
      <c r="I10" s="3">
        <v>0.95</v>
      </c>
      <c r="J10" s="3">
        <v>0.7</v>
      </c>
      <c r="K10" t="s">
        <v>206</v>
      </c>
      <c r="M10" t="s">
        <v>213</v>
      </c>
    </row>
    <row r="11" spans="1:22" x14ac:dyDescent="0.35">
      <c r="A11" s="24" t="s">
        <v>18</v>
      </c>
      <c r="B11" s="3">
        <v>90</v>
      </c>
      <c r="C11" s="3">
        <v>30</v>
      </c>
      <c r="D11" s="3">
        <v>200</v>
      </c>
      <c r="E11" s="3">
        <v>45</v>
      </c>
      <c r="F11" s="4">
        <f>SUM(Tabela1[[#This Row],[Initial days]:[Late days]])</f>
        <v>365</v>
      </c>
      <c r="G11" s="3">
        <v>0.5</v>
      </c>
      <c r="H11" s="3">
        <v>0.95699999999999996</v>
      </c>
      <c r="I11" s="3">
        <v>0.3</v>
      </c>
      <c r="J11" s="5" t="s">
        <v>19</v>
      </c>
      <c r="K11" t="s">
        <v>214</v>
      </c>
      <c r="M11" t="s">
        <v>215</v>
      </c>
    </row>
    <row r="12" spans="1:22" x14ac:dyDescent="0.35">
      <c r="A12" s="24" t="s">
        <v>21</v>
      </c>
      <c r="B12" s="3"/>
      <c r="C12" s="3"/>
      <c r="D12" s="3"/>
      <c r="E12" s="3"/>
      <c r="F12" s="4">
        <f>SUM(Tabela1[[#This Row],[Initial days]:[Late days]])</f>
        <v>0</v>
      </c>
      <c r="G12" s="3">
        <v>0.6</v>
      </c>
      <c r="H12" s="3">
        <v>0.85</v>
      </c>
      <c r="I12" s="3">
        <v>0.75</v>
      </c>
      <c r="J12" s="5">
        <v>3</v>
      </c>
      <c r="M12" t="s">
        <v>22</v>
      </c>
    </row>
    <row r="13" spans="1:22" x14ac:dyDescent="0.35">
      <c r="A13" t="s">
        <v>23</v>
      </c>
      <c r="B13" s="3">
        <v>120</v>
      </c>
      <c r="C13" s="3">
        <v>90</v>
      </c>
      <c r="D13" s="3">
        <v>120</v>
      </c>
      <c r="E13" s="3">
        <v>60</v>
      </c>
      <c r="F13" s="4">
        <f>SUM(Tabela1[[#This Row],[Initial days]:[Late days]])</f>
        <v>390</v>
      </c>
      <c r="G13" s="3">
        <v>0.5</v>
      </c>
      <c r="H13" s="3">
        <v>1.1000000000000001</v>
      </c>
      <c r="I13" s="3">
        <v>1</v>
      </c>
      <c r="J13" s="5">
        <v>3</v>
      </c>
      <c r="K13" s="6" t="s">
        <v>227</v>
      </c>
      <c r="M13" t="s">
        <v>20</v>
      </c>
    </row>
    <row r="14" spans="1:22" x14ac:dyDescent="0.35">
      <c r="A14" s="24" t="s">
        <v>24</v>
      </c>
      <c r="B14" s="3">
        <v>120</v>
      </c>
      <c r="C14" s="3">
        <v>60</v>
      </c>
      <c r="D14" s="3">
        <v>180</v>
      </c>
      <c r="E14" s="3">
        <v>5</v>
      </c>
      <c r="F14" s="4">
        <f>SUM(Tabela1[[#This Row],[Initial days]:[Late days]])</f>
        <v>365</v>
      </c>
      <c r="G14" s="3">
        <v>1</v>
      </c>
      <c r="H14" s="3">
        <v>1.2</v>
      </c>
      <c r="I14" s="3">
        <v>1.1000000000000001</v>
      </c>
      <c r="J14" s="5">
        <v>4</v>
      </c>
      <c r="K14" s="6" t="s">
        <v>214</v>
      </c>
      <c r="M14" t="s">
        <v>20</v>
      </c>
    </row>
    <row r="15" spans="1:22" x14ac:dyDescent="0.35">
      <c r="A15" s="24" t="s">
        <v>25</v>
      </c>
      <c r="B15" s="3">
        <v>15</v>
      </c>
      <c r="C15" s="3">
        <v>25</v>
      </c>
      <c r="D15" s="3">
        <v>50</v>
      </c>
      <c r="E15" s="3">
        <v>30</v>
      </c>
      <c r="F15" s="4">
        <f>SUM(Tabela1[[#This Row],[Initial days]:[Late days]])</f>
        <v>120</v>
      </c>
      <c r="G15" s="3">
        <v>0.3</v>
      </c>
      <c r="H15" s="3">
        <v>1.1499999999999999</v>
      </c>
      <c r="I15" s="3">
        <v>0.25</v>
      </c>
      <c r="J15" s="5">
        <v>1</v>
      </c>
      <c r="K15" t="s">
        <v>207</v>
      </c>
      <c r="M15" t="s">
        <v>26</v>
      </c>
    </row>
    <row r="16" spans="1:22" x14ac:dyDescent="0.35">
      <c r="A16" s="24" t="s">
        <v>27</v>
      </c>
      <c r="B16" s="3">
        <v>15</v>
      </c>
      <c r="C16" s="3">
        <v>25</v>
      </c>
      <c r="D16" s="3">
        <v>20</v>
      </c>
      <c r="E16" s="3">
        <v>10</v>
      </c>
      <c r="F16" s="4">
        <f>SUM(Tabela1[[#This Row],[Initial days]:[Late days]])</f>
        <v>70</v>
      </c>
      <c r="G16" s="3">
        <v>0.5</v>
      </c>
      <c r="H16" s="3">
        <v>1.05</v>
      </c>
      <c r="I16" s="3">
        <v>0.95</v>
      </c>
      <c r="J16" s="3">
        <v>0.4</v>
      </c>
      <c r="K16" s="6" t="s">
        <v>202</v>
      </c>
      <c r="M16" t="s">
        <v>203</v>
      </c>
    </row>
    <row r="17" spans="1:13" x14ac:dyDescent="0.35">
      <c r="A17" s="24" t="s">
        <v>29</v>
      </c>
      <c r="B17" s="3">
        <v>20</v>
      </c>
      <c r="C17" s="3">
        <v>30</v>
      </c>
      <c r="D17" s="3">
        <v>30</v>
      </c>
      <c r="E17" s="3">
        <v>10</v>
      </c>
      <c r="F17" s="4">
        <f>SUM(Tabela1[[#This Row],[Initial days]:[Late days]])</f>
        <v>90</v>
      </c>
      <c r="G17" s="3">
        <v>0.5</v>
      </c>
      <c r="H17" s="3">
        <v>1.052</v>
      </c>
      <c r="I17" s="3">
        <v>0.9</v>
      </c>
      <c r="J17" s="3">
        <v>0.4</v>
      </c>
      <c r="K17" t="s">
        <v>208</v>
      </c>
      <c r="M17" t="s">
        <v>30</v>
      </c>
    </row>
    <row r="18" spans="1:13" x14ac:dyDescent="0.35">
      <c r="A18" s="33" t="s">
        <v>314</v>
      </c>
      <c r="B18" s="34"/>
      <c r="C18" s="34"/>
      <c r="D18" s="34"/>
      <c r="E18" s="34"/>
      <c r="F18" s="35">
        <f>SUM(Tabela1[[#This Row],[Initial days]:[Late days]])</f>
        <v>0</v>
      </c>
      <c r="G18" s="34">
        <v>0.3</v>
      </c>
      <c r="H18" s="34">
        <v>1.05</v>
      </c>
      <c r="I18" s="34">
        <v>0.5</v>
      </c>
      <c r="J18" s="34">
        <v>1.5</v>
      </c>
      <c r="K18" s="1"/>
      <c r="M18" t="s">
        <v>31</v>
      </c>
    </row>
    <row r="19" spans="1:13" x14ac:dyDescent="0.35">
      <c r="A19" t="s">
        <v>32</v>
      </c>
      <c r="B19" s="3"/>
      <c r="C19" s="3"/>
      <c r="D19" s="3"/>
      <c r="E19" s="3"/>
      <c r="F19" s="4">
        <f>SUM(Tabela1[[#This Row],[Initial days]:[Late days]])</f>
        <v>0</v>
      </c>
      <c r="G19" s="5"/>
      <c r="H19" s="5"/>
      <c r="I19" s="5"/>
      <c r="J19" s="5"/>
    </row>
    <row r="20" spans="1:13" x14ac:dyDescent="0.35">
      <c r="A20" t="s">
        <v>33</v>
      </c>
      <c r="B20" s="3"/>
      <c r="C20" s="3"/>
      <c r="D20" s="3"/>
      <c r="E20" s="3"/>
      <c r="F20" s="4">
        <f>SUM(Tabela1[[#This Row],[Initial days]:[Late days]])</f>
        <v>0</v>
      </c>
      <c r="G20" s="5"/>
      <c r="H20" s="5"/>
      <c r="I20" s="5"/>
      <c r="J20" s="5"/>
    </row>
    <row r="21" spans="1:13" s="24" customFormat="1" x14ac:dyDescent="0.35">
      <c r="A21" s="24" t="s">
        <v>34</v>
      </c>
      <c r="B21" s="25">
        <v>35</v>
      </c>
      <c r="C21" s="25">
        <v>45</v>
      </c>
      <c r="D21" s="25">
        <v>40</v>
      </c>
      <c r="E21" s="25">
        <v>15</v>
      </c>
      <c r="F21" s="26">
        <f>SUM(Tabela1[[#This Row],[Initial days]:[Late days]])</f>
        <v>135</v>
      </c>
      <c r="G21" s="25">
        <v>0.7</v>
      </c>
      <c r="H21" s="25">
        <v>1.05</v>
      </c>
      <c r="I21" s="25">
        <v>0.95</v>
      </c>
      <c r="J21" s="25">
        <v>0.3</v>
      </c>
      <c r="K21" s="24" t="s">
        <v>185</v>
      </c>
      <c r="M21" s="24" t="s">
        <v>183</v>
      </c>
    </row>
    <row r="22" spans="1:13" x14ac:dyDescent="0.35">
      <c r="A22" s="12" t="s">
        <v>35</v>
      </c>
      <c r="B22" s="13"/>
      <c r="C22" s="13"/>
      <c r="D22" s="13"/>
      <c r="E22" s="13"/>
      <c r="F22" s="14">
        <f>SUM(Tabela1[[#This Row],[Initial days]:[Late days]])</f>
        <v>0</v>
      </c>
      <c r="G22" s="13">
        <v>0.7</v>
      </c>
      <c r="H22" s="13">
        <v>1.05</v>
      </c>
      <c r="I22" s="13">
        <v>0.95</v>
      </c>
      <c r="J22" s="13">
        <v>0.4</v>
      </c>
      <c r="K22" s="12"/>
      <c r="L22" s="12"/>
      <c r="M22" s="12" t="s">
        <v>28</v>
      </c>
    </row>
    <row r="23" spans="1:13" x14ac:dyDescent="0.35">
      <c r="A23" t="s">
        <v>36</v>
      </c>
      <c r="B23" s="3"/>
      <c r="C23" s="3"/>
      <c r="D23" s="3"/>
      <c r="E23" s="3"/>
      <c r="F23" s="4">
        <f>SUM(Tabela1[[#This Row],[Initial days]:[Late days]])</f>
        <v>0</v>
      </c>
      <c r="G23" s="5"/>
      <c r="H23" s="5"/>
      <c r="I23" s="5"/>
      <c r="J23" s="5"/>
    </row>
    <row r="24" spans="1:13" s="24" customFormat="1" x14ac:dyDescent="0.35">
      <c r="A24" s="24" t="s">
        <v>37</v>
      </c>
      <c r="B24" s="25">
        <v>40</v>
      </c>
      <c r="C24" s="25">
        <v>60</v>
      </c>
      <c r="D24" s="25">
        <v>50</v>
      </c>
      <c r="E24" s="25">
        <v>15</v>
      </c>
      <c r="F24" s="26">
        <f>SUM(Tabela1[[#This Row],[Initial days]:[Late days]])</f>
        <v>165</v>
      </c>
      <c r="G24" s="25">
        <v>0.7</v>
      </c>
      <c r="H24" s="25">
        <v>1.05</v>
      </c>
      <c r="I24" s="25">
        <v>0.95</v>
      </c>
      <c r="J24" s="25">
        <v>0.4</v>
      </c>
      <c r="K24" s="24" t="s">
        <v>185</v>
      </c>
    </row>
    <row r="25" spans="1:13" x14ac:dyDescent="0.35">
      <c r="A25" s="33" t="s">
        <v>38</v>
      </c>
      <c r="B25" s="34"/>
      <c r="C25" s="34"/>
      <c r="D25" s="34"/>
      <c r="E25" s="34"/>
      <c r="F25" s="35">
        <f>SUM(Tabela1[[#This Row],[Initial days]:[Late days]])</f>
        <v>0</v>
      </c>
      <c r="G25" s="34">
        <v>1</v>
      </c>
      <c r="H25" s="34">
        <v>1.05</v>
      </c>
      <c r="I25" s="34">
        <v>1.05</v>
      </c>
      <c r="J25" s="34">
        <v>3</v>
      </c>
    </row>
    <row r="26" spans="1:13" x14ac:dyDescent="0.35">
      <c r="A26" t="s">
        <v>39</v>
      </c>
      <c r="B26" s="3"/>
      <c r="C26" s="3"/>
      <c r="D26" s="3"/>
      <c r="E26" s="3"/>
      <c r="F26" s="4">
        <f>SUM(Tabela1[[#This Row],[Initial days]:[Late days]])</f>
        <v>0</v>
      </c>
      <c r="G26" s="5"/>
      <c r="H26" s="5"/>
      <c r="I26" s="5"/>
      <c r="J26" s="5"/>
    </row>
    <row r="27" spans="1:13" x14ac:dyDescent="0.35">
      <c r="A27" t="s">
        <v>40</v>
      </c>
      <c r="B27" s="3"/>
      <c r="C27" s="3"/>
      <c r="D27" s="3"/>
      <c r="E27" s="3"/>
      <c r="F27" s="4">
        <f>SUM(Tabela1[[#This Row],[Initial days]:[Late days]])</f>
        <v>0</v>
      </c>
      <c r="G27" s="5"/>
      <c r="H27" s="5"/>
      <c r="I27" s="5"/>
      <c r="J27" s="5"/>
    </row>
    <row r="28" spans="1:13" x14ac:dyDescent="0.35">
      <c r="A28" t="s">
        <v>41</v>
      </c>
      <c r="B28" s="3">
        <v>20</v>
      </c>
      <c r="C28" s="3">
        <v>30</v>
      </c>
      <c r="D28" s="3">
        <v>50</v>
      </c>
      <c r="E28" s="3">
        <v>20</v>
      </c>
      <c r="F28" s="4">
        <f>SUM(Tabela1[[#This Row],[Initial days]:[Late days]])</f>
        <v>120</v>
      </c>
      <c r="G28" s="3">
        <v>0.7</v>
      </c>
      <c r="H28" s="3">
        <v>1.05</v>
      </c>
      <c r="I28" s="3">
        <v>0.95</v>
      </c>
      <c r="J28" s="3">
        <v>0.3</v>
      </c>
      <c r="K28" s="6" t="s">
        <v>186</v>
      </c>
      <c r="M28" t="s">
        <v>182</v>
      </c>
    </row>
    <row r="29" spans="1:13" x14ac:dyDescent="0.35">
      <c r="A29" t="s">
        <v>42</v>
      </c>
      <c r="B29" s="3"/>
      <c r="C29" s="3"/>
      <c r="D29" s="3"/>
      <c r="E29" s="3"/>
      <c r="F29" s="4">
        <f>SUM(Tabela1[[#This Row],[Initial days]:[Late days]])</f>
        <v>0</v>
      </c>
      <c r="G29" s="5"/>
      <c r="H29" s="5"/>
      <c r="I29" s="5"/>
      <c r="J29" s="5"/>
    </row>
    <row r="30" spans="1:13" x14ac:dyDescent="0.35">
      <c r="A30" t="s">
        <v>43</v>
      </c>
      <c r="B30" s="3">
        <v>20</v>
      </c>
      <c r="C30" s="3">
        <v>40</v>
      </c>
      <c r="D30" s="3">
        <v>90</v>
      </c>
      <c r="E30" s="3">
        <v>60</v>
      </c>
      <c r="F30" s="4">
        <f>SUM(Tabela1[[#This Row],[Initial days]:[Late days]])</f>
        <v>210</v>
      </c>
      <c r="G30" s="3">
        <v>0.3</v>
      </c>
      <c r="H30" s="3">
        <v>0.80300000000000005</v>
      </c>
      <c r="I30" s="3">
        <v>0.3</v>
      </c>
      <c r="J30" s="3">
        <v>1</v>
      </c>
      <c r="K30" s="6" t="s">
        <v>204</v>
      </c>
      <c r="M30" t="s">
        <v>44</v>
      </c>
    </row>
    <row r="31" spans="1:13" s="24" customFormat="1" x14ac:dyDescent="0.35">
      <c r="A31" s="24" t="s">
        <v>45</v>
      </c>
      <c r="B31" s="25">
        <v>150</v>
      </c>
      <c r="C31" s="25">
        <v>40</v>
      </c>
      <c r="D31" s="25">
        <v>110</v>
      </c>
      <c r="E31" s="25">
        <v>60</v>
      </c>
      <c r="F31" s="26">
        <f>SUM(Tabela1[[#This Row],[Initial days]:[Late days]])</f>
        <v>360</v>
      </c>
      <c r="G31" s="25">
        <v>0.3</v>
      </c>
      <c r="H31" s="25">
        <v>1.1000000000000001</v>
      </c>
      <c r="I31" s="25">
        <v>0.5</v>
      </c>
      <c r="J31" s="25">
        <v>1.5</v>
      </c>
      <c r="K31" s="27" t="s">
        <v>205</v>
      </c>
    </row>
    <row r="32" spans="1:13" s="24" customFormat="1" x14ac:dyDescent="0.35">
      <c r="A32" s="24" t="s">
        <v>46</v>
      </c>
      <c r="B32" s="25">
        <v>35</v>
      </c>
      <c r="C32" s="25">
        <v>50</v>
      </c>
      <c r="D32" s="25">
        <v>40</v>
      </c>
      <c r="E32" s="25">
        <v>15</v>
      </c>
      <c r="F32" s="26">
        <f>SUM(Tabela1[[#This Row],[Initial days]:[Late days]])</f>
        <v>140</v>
      </c>
      <c r="G32" s="25">
        <v>0.7</v>
      </c>
      <c r="H32" s="25">
        <v>1.05</v>
      </c>
      <c r="I32" s="25">
        <v>0.95</v>
      </c>
      <c r="J32" s="25">
        <v>0.4</v>
      </c>
      <c r="K32" s="28" t="s">
        <v>185</v>
      </c>
    </row>
    <row r="33" spans="1:19" s="24" customFormat="1" x14ac:dyDescent="0.35">
      <c r="A33" s="24" t="s">
        <v>47</v>
      </c>
      <c r="B33" s="25">
        <v>25</v>
      </c>
      <c r="C33" s="25">
        <v>40</v>
      </c>
      <c r="D33" s="25">
        <v>95</v>
      </c>
      <c r="E33" s="25">
        <v>20</v>
      </c>
      <c r="F33" s="26">
        <f>SUM(Tabela1[[#This Row],[Initial days]:[Late days]])</f>
        <v>180</v>
      </c>
      <c r="G33" s="25">
        <v>0.7</v>
      </c>
      <c r="H33" s="25">
        <v>1.05</v>
      </c>
      <c r="I33" s="25">
        <v>1</v>
      </c>
      <c r="J33" s="25">
        <v>0.6</v>
      </c>
      <c r="K33" s="28" t="s">
        <v>187</v>
      </c>
      <c r="M33" s="24" t="s">
        <v>48</v>
      </c>
    </row>
    <row r="34" spans="1:19" x14ac:dyDescent="0.35">
      <c r="A34" t="s">
        <v>49</v>
      </c>
      <c r="B34" s="3"/>
      <c r="C34" s="3"/>
      <c r="D34" s="3"/>
      <c r="E34" s="3"/>
      <c r="F34" s="4">
        <f>SUM(Tabela1[[#This Row],[Initial days]:[Late days]])</f>
        <v>0</v>
      </c>
      <c r="G34" s="5"/>
      <c r="H34" s="5"/>
      <c r="I34" s="5"/>
      <c r="J34" s="5"/>
    </row>
    <row r="35" spans="1:19" x14ac:dyDescent="0.35">
      <c r="A35" t="s">
        <v>50</v>
      </c>
      <c r="B35" s="3"/>
      <c r="C35" s="3"/>
      <c r="D35" s="3"/>
      <c r="E35" s="3"/>
      <c r="F35" s="4">
        <f>SUM(Tabela1[[#This Row],[Initial days]:[Late days]])</f>
        <v>0</v>
      </c>
      <c r="G35" s="5"/>
      <c r="H35" s="5"/>
      <c r="I35" s="5"/>
      <c r="J35" s="5"/>
      <c r="S35" t="e" cm="1">
        <f t="array" aca="1" ref="S35" ca="1">[1]!_xldudf_GPT_GPTPROMPT(What month is the planting date in the northern hemisphere of the plant?,A2)</f>
        <v>#NAME?</v>
      </c>
    </row>
    <row r="36" spans="1:19" x14ac:dyDescent="0.35">
      <c r="A36" s="33" t="s">
        <v>51</v>
      </c>
      <c r="B36" s="34"/>
      <c r="C36" s="34"/>
      <c r="D36" s="34"/>
      <c r="E36" s="34"/>
      <c r="F36" s="35">
        <f>SUM(Tabela1[[#This Row],[Initial days]:[Late days]])</f>
        <v>0</v>
      </c>
      <c r="G36" s="34">
        <v>0.6</v>
      </c>
      <c r="H36" s="34">
        <v>0.95</v>
      </c>
      <c r="I36" s="34">
        <v>0.75180000000000002</v>
      </c>
      <c r="J36" s="36">
        <v>4</v>
      </c>
      <c r="M36" t="s">
        <v>14</v>
      </c>
    </row>
    <row r="37" spans="1:19" x14ac:dyDescent="0.35">
      <c r="A37" t="s">
        <v>52</v>
      </c>
      <c r="B37" s="3"/>
      <c r="C37" s="3"/>
      <c r="D37" s="3"/>
      <c r="E37" s="3"/>
      <c r="F37" s="4">
        <f>SUM(Tabela1[[#This Row],[Initial days]:[Late days]])</f>
        <v>0</v>
      </c>
      <c r="G37" s="5"/>
      <c r="H37" s="5"/>
      <c r="I37" s="5"/>
      <c r="J37" s="5"/>
    </row>
    <row r="38" spans="1:19" x14ac:dyDescent="0.35">
      <c r="A38" s="33" t="s">
        <v>53</v>
      </c>
      <c r="B38" s="34"/>
      <c r="C38" s="34"/>
      <c r="D38" s="34"/>
      <c r="E38" s="34"/>
      <c r="F38" s="35">
        <f>SUM(Tabela1[[#This Row],[Initial days]:[Late days]])</f>
        <v>0</v>
      </c>
      <c r="G38" s="34">
        <v>0.4</v>
      </c>
      <c r="H38" s="34">
        <v>1</v>
      </c>
      <c r="I38" s="34">
        <v>0.35</v>
      </c>
      <c r="J38" s="34">
        <v>0.4</v>
      </c>
    </row>
    <row r="39" spans="1:19" x14ac:dyDescent="0.35">
      <c r="A39" t="s">
        <v>54</v>
      </c>
      <c r="B39" s="3"/>
      <c r="C39" s="3"/>
      <c r="D39" s="3"/>
      <c r="E39" s="3"/>
      <c r="F39" s="4">
        <f>SUM(Tabela1[[#This Row],[Initial days]:[Late days]])</f>
        <v>0</v>
      </c>
      <c r="G39" s="5"/>
      <c r="H39" s="5"/>
      <c r="I39" s="5"/>
      <c r="J39" s="5"/>
    </row>
    <row r="40" spans="1:19" x14ac:dyDescent="0.35">
      <c r="A40" t="s">
        <v>55</v>
      </c>
      <c r="B40" s="3"/>
      <c r="C40" s="3"/>
      <c r="D40" s="3"/>
      <c r="E40" s="3"/>
      <c r="F40" s="4">
        <f>SUM(Tabela1[[#This Row],[Initial days]:[Late days]])</f>
        <v>0</v>
      </c>
      <c r="G40" s="5"/>
      <c r="H40" s="5"/>
      <c r="I40" s="5"/>
      <c r="J40" s="5"/>
    </row>
    <row r="41" spans="1:19" x14ac:dyDescent="0.35">
      <c r="A41" t="s">
        <v>56</v>
      </c>
      <c r="B41" s="3"/>
      <c r="C41" s="3"/>
      <c r="D41" s="3"/>
      <c r="E41" s="3"/>
      <c r="F41" s="4">
        <f>SUM(Tabela1[[#This Row],[Initial days]:[Late days]])</f>
        <v>0</v>
      </c>
      <c r="G41" s="5"/>
      <c r="H41" s="5"/>
      <c r="I41" s="5"/>
      <c r="J41" s="5"/>
    </row>
    <row r="42" spans="1:19" x14ac:dyDescent="0.35">
      <c r="A42" t="s">
        <v>57</v>
      </c>
      <c r="B42" s="3">
        <v>60</v>
      </c>
      <c r="C42" s="3">
        <v>90</v>
      </c>
      <c r="D42" s="3">
        <v>120</v>
      </c>
      <c r="E42" s="3">
        <v>95</v>
      </c>
      <c r="F42" s="4">
        <f>SUM(Tabela1[[#This Row],[Initial days]:[Late days]])</f>
        <v>365</v>
      </c>
      <c r="G42" s="3">
        <v>0.65</v>
      </c>
      <c r="H42" s="3">
        <v>0.6</v>
      </c>
      <c r="I42" s="3">
        <v>0.65</v>
      </c>
      <c r="J42" s="5">
        <v>3</v>
      </c>
      <c r="K42" s="6" t="s">
        <v>231</v>
      </c>
      <c r="M42" t="s">
        <v>58</v>
      </c>
    </row>
    <row r="43" spans="1:19" x14ac:dyDescent="0.35">
      <c r="A43" t="s">
        <v>59</v>
      </c>
      <c r="B43" s="3"/>
      <c r="C43" s="3"/>
      <c r="D43" s="3"/>
      <c r="E43" s="3"/>
      <c r="F43" s="4">
        <f>SUM(Tabela1[[#This Row],[Initial days]:[Late days]])</f>
        <v>0</v>
      </c>
      <c r="G43" s="5"/>
      <c r="H43" s="5"/>
      <c r="I43" s="5"/>
      <c r="J43" s="5"/>
    </row>
    <row r="44" spans="1:19" x14ac:dyDescent="0.35">
      <c r="A44" t="s">
        <v>60</v>
      </c>
      <c r="B44" s="3"/>
      <c r="C44" s="3"/>
      <c r="D44" s="3"/>
      <c r="E44" s="3"/>
      <c r="F44" s="4">
        <f>SUM(Tabela1[[#This Row],[Initial days]:[Late days]])</f>
        <v>0</v>
      </c>
      <c r="G44" s="5"/>
      <c r="H44" s="5"/>
      <c r="I44" s="5"/>
      <c r="J44" s="5"/>
    </row>
    <row r="45" spans="1:19" x14ac:dyDescent="0.35">
      <c r="A45" t="s">
        <v>61</v>
      </c>
      <c r="B45" s="3"/>
      <c r="C45" s="3"/>
      <c r="D45" s="3"/>
      <c r="E45" s="3"/>
      <c r="F45" s="4">
        <f>SUM(Tabela1[[#This Row],[Initial days]:[Late days]])</f>
        <v>0</v>
      </c>
      <c r="G45" s="3">
        <v>0.9</v>
      </c>
      <c r="H45" s="3">
        <v>0.95</v>
      </c>
      <c r="I45" s="3">
        <v>0.95</v>
      </c>
      <c r="J45" s="5" t="s">
        <v>178</v>
      </c>
      <c r="K45" s="1"/>
    </row>
    <row r="46" spans="1:19" x14ac:dyDescent="0.35">
      <c r="A46" t="s">
        <v>62</v>
      </c>
      <c r="B46" s="3">
        <v>30</v>
      </c>
      <c r="C46" s="3">
        <v>50</v>
      </c>
      <c r="D46" s="3">
        <v>60</v>
      </c>
      <c r="E46" s="3">
        <v>55</v>
      </c>
      <c r="F46" s="4">
        <f>SUM(Tabela1[[#This Row],[Initial days]:[Late days]])</f>
        <v>195</v>
      </c>
      <c r="G46" s="3">
        <v>0.35</v>
      </c>
      <c r="H46" s="5" t="s">
        <v>63</v>
      </c>
      <c r="I46" s="5" t="s">
        <v>64</v>
      </c>
      <c r="J46" s="5" t="s">
        <v>65</v>
      </c>
      <c r="K46" s="6" t="s">
        <v>216</v>
      </c>
      <c r="M46" t="s">
        <v>217</v>
      </c>
    </row>
    <row r="47" spans="1:19" x14ac:dyDescent="0.35">
      <c r="A47" t="s">
        <v>66</v>
      </c>
      <c r="B47" s="3"/>
      <c r="C47" s="3"/>
      <c r="D47" s="3"/>
      <c r="E47" s="3"/>
      <c r="F47" s="4">
        <f>SUM(Tabela1[[#This Row],[Initial days]:[Late days]])</f>
        <v>0</v>
      </c>
      <c r="G47" s="5"/>
      <c r="H47" s="5"/>
      <c r="I47" s="5"/>
      <c r="J47" s="5"/>
    </row>
    <row r="48" spans="1:19" s="24" customFormat="1" x14ac:dyDescent="0.35">
      <c r="A48" s="24" t="s">
        <v>67</v>
      </c>
      <c r="B48" s="25">
        <v>20</v>
      </c>
      <c r="C48" s="25">
        <v>30</v>
      </c>
      <c r="D48" s="25">
        <v>40</v>
      </c>
      <c r="E48" s="25">
        <v>15</v>
      </c>
      <c r="F48" s="26">
        <f>SUM(Tabela1[[#This Row],[Initial days]:[Late days]])</f>
        <v>105</v>
      </c>
      <c r="G48" s="25">
        <v>0.6</v>
      </c>
      <c r="H48" s="25">
        <v>1.002</v>
      </c>
      <c r="I48" s="25">
        <v>0.75</v>
      </c>
      <c r="J48" s="25">
        <v>0.3</v>
      </c>
      <c r="K48" s="28" t="s">
        <v>197</v>
      </c>
      <c r="M48" s="24" t="s">
        <v>68</v>
      </c>
    </row>
    <row r="49" spans="1:13" x14ac:dyDescent="0.35">
      <c r="A49" t="s">
        <v>69</v>
      </c>
      <c r="B49" s="3"/>
      <c r="C49" s="3"/>
      <c r="D49" s="3"/>
      <c r="E49" s="3"/>
      <c r="F49" s="4">
        <f>SUM(Tabela1[[#This Row],[Initial days]:[Late days]])</f>
        <v>0</v>
      </c>
      <c r="G49" s="5"/>
      <c r="H49" s="5"/>
      <c r="I49" s="5"/>
      <c r="J49" s="5"/>
    </row>
    <row r="50" spans="1:13" x14ac:dyDescent="0.35">
      <c r="A50" s="33" t="s">
        <v>70</v>
      </c>
      <c r="B50" s="34"/>
      <c r="C50" s="34"/>
      <c r="D50" s="34"/>
      <c r="E50" s="34"/>
      <c r="F50" s="35">
        <f>SUM(Tabela1[[#This Row],[Initial days]:[Late days]])</f>
        <v>0</v>
      </c>
      <c r="G50" s="34">
        <v>0.9</v>
      </c>
      <c r="H50" s="34">
        <v>0.95</v>
      </c>
      <c r="I50" s="34">
        <v>0.95</v>
      </c>
      <c r="J50" s="36">
        <v>8</v>
      </c>
    </row>
    <row r="51" spans="1:13" s="24" customFormat="1" x14ac:dyDescent="0.35">
      <c r="A51" s="24" t="s">
        <v>71</v>
      </c>
      <c r="B51" s="25">
        <v>30</v>
      </c>
      <c r="C51" s="25">
        <v>40</v>
      </c>
      <c r="D51" s="25">
        <v>40</v>
      </c>
      <c r="E51" s="25">
        <v>20</v>
      </c>
      <c r="F51" s="26">
        <f>SUM(Tabela1[[#This Row],[Initial days]:[Late days]])</f>
        <v>130</v>
      </c>
      <c r="G51" s="25">
        <v>0.6</v>
      </c>
      <c r="H51" s="25">
        <v>1.05</v>
      </c>
      <c r="I51" s="25">
        <v>0.9</v>
      </c>
      <c r="J51" s="25">
        <v>0.8</v>
      </c>
      <c r="K51" s="24" t="s">
        <v>193</v>
      </c>
      <c r="M51" s="24" t="s">
        <v>72</v>
      </c>
    </row>
    <row r="52" spans="1:13" x14ac:dyDescent="0.35">
      <c r="A52" t="s">
        <v>73</v>
      </c>
      <c r="B52" s="3"/>
      <c r="C52" s="3"/>
      <c r="D52" s="3"/>
      <c r="E52" s="3"/>
      <c r="F52" s="4">
        <f>SUM(Tabela1[[#This Row],[Initial days]:[Late days]])</f>
        <v>0</v>
      </c>
      <c r="G52" s="5"/>
      <c r="H52" s="5"/>
      <c r="I52" s="5"/>
      <c r="J52" s="5"/>
    </row>
    <row r="53" spans="1:13" x14ac:dyDescent="0.35">
      <c r="A53" t="s">
        <v>74</v>
      </c>
      <c r="B53" s="3"/>
      <c r="C53" s="3"/>
      <c r="D53" s="3"/>
      <c r="E53" s="3"/>
      <c r="F53" s="4">
        <f>SUM(Tabela1[[#This Row],[Initial days]:[Late days]])</f>
        <v>0</v>
      </c>
      <c r="G53" s="5"/>
      <c r="H53" s="5"/>
      <c r="I53" s="5"/>
      <c r="J53" s="5"/>
    </row>
    <row r="54" spans="1:13" x14ac:dyDescent="0.35">
      <c r="A54" t="s">
        <v>75</v>
      </c>
      <c r="B54" s="3">
        <v>25</v>
      </c>
      <c r="C54" s="3">
        <v>35</v>
      </c>
      <c r="D54" s="3">
        <v>50</v>
      </c>
      <c r="E54" s="3">
        <v>40</v>
      </c>
      <c r="F54" s="4">
        <f>SUM(Tabela1[[#This Row],[Initial days]:[Late days]])</f>
        <v>150</v>
      </c>
      <c r="G54" s="3">
        <v>0.35</v>
      </c>
      <c r="H54" s="3">
        <v>1.1000000000000001</v>
      </c>
      <c r="I54" s="3">
        <v>0.25</v>
      </c>
      <c r="J54" s="3">
        <v>1.2</v>
      </c>
      <c r="K54" s="6" t="s">
        <v>189</v>
      </c>
      <c r="M54" t="s">
        <v>184</v>
      </c>
    </row>
    <row r="55" spans="1:13" x14ac:dyDescent="0.35">
      <c r="A55" t="s">
        <v>76</v>
      </c>
      <c r="B55" s="3"/>
      <c r="C55" s="3"/>
      <c r="D55" s="3"/>
      <c r="E55" s="3"/>
      <c r="F55" s="4">
        <f>SUM(Tabela1[[#This Row],[Initial days]:[Late days]])</f>
        <v>0</v>
      </c>
      <c r="G55" s="5"/>
      <c r="H55" s="5"/>
      <c r="I55" s="5"/>
      <c r="J55" s="5"/>
    </row>
    <row r="56" spans="1:13" x14ac:dyDescent="0.35">
      <c r="A56" s="33" t="s">
        <v>77</v>
      </c>
      <c r="B56" s="34"/>
      <c r="C56" s="34"/>
      <c r="D56" s="34"/>
      <c r="E56" s="34"/>
      <c r="F56" s="35">
        <f>SUM(Tabela1[[#This Row],[Initial days]:[Late days]])</f>
        <v>0</v>
      </c>
      <c r="G56" s="34">
        <v>0.7</v>
      </c>
      <c r="H56" s="34">
        <v>1</v>
      </c>
      <c r="I56" s="34">
        <v>0.7</v>
      </c>
      <c r="J56" s="34">
        <v>0.3</v>
      </c>
    </row>
    <row r="57" spans="1:13" x14ac:dyDescent="0.35">
      <c r="A57" t="s">
        <v>78</v>
      </c>
      <c r="B57" s="3"/>
      <c r="C57" s="3"/>
      <c r="D57" s="3"/>
      <c r="E57" s="3"/>
      <c r="F57" s="4">
        <f>SUM(Tabela1[[#This Row],[Initial days]:[Late days]])</f>
        <v>0</v>
      </c>
      <c r="G57" s="5"/>
      <c r="H57" s="5"/>
      <c r="I57" s="5"/>
      <c r="J57" s="5"/>
    </row>
    <row r="58" spans="1:13" x14ac:dyDescent="0.35">
      <c r="A58" t="s">
        <v>315</v>
      </c>
      <c r="B58" s="3"/>
      <c r="C58" s="3"/>
      <c r="D58" s="3"/>
      <c r="E58" s="3"/>
      <c r="F58" s="4"/>
      <c r="G58" s="5"/>
      <c r="H58" s="5"/>
      <c r="I58" s="5"/>
      <c r="J58" s="5"/>
    </row>
    <row r="59" spans="1:13" s="17" customFormat="1" x14ac:dyDescent="0.35">
      <c r="A59" s="17" t="s">
        <v>79</v>
      </c>
      <c r="B59" s="30">
        <v>20</v>
      </c>
      <c r="C59" s="30">
        <v>30</v>
      </c>
      <c r="D59" s="30">
        <v>60</v>
      </c>
      <c r="E59" s="30">
        <v>40</v>
      </c>
      <c r="F59" s="31">
        <f>SUM(Tabela1[[#This Row],[Initial days]:[Late days]])</f>
        <v>150</v>
      </c>
      <c r="G59" s="32"/>
      <c r="H59" s="32"/>
      <c r="I59" s="32"/>
      <c r="J59" s="32"/>
      <c r="M59" s="17" t="s">
        <v>20</v>
      </c>
    </row>
    <row r="60" spans="1:13" x14ac:dyDescent="0.35">
      <c r="A60" t="s">
        <v>80</v>
      </c>
      <c r="B60" s="3"/>
      <c r="C60" s="3"/>
      <c r="D60" s="3"/>
      <c r="E60" s="3"/>
      <c r="F60" s="4">
        <f>SUM(Tabela1[[#This Row],[Initial days]:[Late days]])</f>
        <v>0</v>
      </c>
      <c r="G60" s="5"/>
      <c r="H60" s="5"/>
      <c r="I60" s="5"/>
      <c r="J60" s="5"/>
    </row>
    <row r="61" spans="1:13" x14ac:dyDescent="0.35">
      <c r="A61" t="s">
        <v>81</v>
      </c>
      <c r="B61" s="3">
        <v>30</v>
      </c>
      <c r="C61" s="3">
        <v>60</v>
      </c>
      <c r="D61" s="3">
        <v>40</v>
      </c>
      <c r="E61" s="3">
        <v>80</v>
      </c>
      <c r="F61" s="4">
        <f>SUM(Tabela1[[#This Row],[Initial days]:[Late days]])</f>
        <v>210</v>
      </c>
      <c r="G61" s="3">
        <v>0.3</v>
      </c>
      <c r="H61" s="3">
        <v>0.7</v>
      </c>
      <c r="I61" s="3">
        <v>0.45</v>
      </c>
      <c r="J61" s="5" t="s">
        <v>179</v>
      </c>
      <c r="K61" s="6" t="s">
        <v>189</v>
      </c>
      <c r="M61" t="s">
        <v>82</v>
      </c>
    </row>
    <row r="62" spans="1:13" s="24" customFormat="1" x14ac:dyDescent="0.35">
      <c r="A62" s="24" t="s">
        <v>83</v>
      </c>
      <c r="B62" s="25">
        <v>35</v>
      </c>
      <c r="C62" s="25">
        <v>45</v>
      </c>
      <c r="D62" s="25">
        <v>35</v>
      </c>
      <c r="E62" s="25">
        <v>25</v>
      </c>
      <c r="F62" s="26">
        <f>SUM(Tabela1[[#This Row],[Initial days]:[Late days]])</f>
        <v>140</v>
      </c>
      <c r="G62" s="25">
        <v>0.4</v>
      </c>
      <c r="H62" s="25">
        <v>1.1499999999999999</v>
      </c>
      <c r="I62" s="25">
        <v>0.6</v>
      </c>
      <c r="J62" s="25">
        <v>0.4</v>
      </c>
      <c r="K62" s="28" t="s">
        <v>209</v>
      </c>
      <c r="M62" s="24" t="s">
        <v>20</v>
      </c>
    </row>
    <row r="63" spans="1:13" x14ac:dyDescent="0.35">
      <c r="A63" t="s">
        <v>84</v>
      </c>
      <c r="B63" s="3"/>
      <c r="C63" s="3"/>
      <c r="D63" s="3"/>
      <c r="E63" s="3"/>
      <c r="F63" s="4">
        <f>SUM(Tabela1[[#This Row],[Initial days]:[Late days]])</f>
        <v>0</v>
      </c>
      <c r="G63" s="5"/>
      <c r="H63" s="5"/>
      <c r="I63" s="5"/>
      <c r="J63" s="5"/>
    </row>
    <row r="64" spans="1:13" x14ac:dyDescent="0.35">
      <c r="A64" t="s">
        <v>85</v>
      </c>
      <c r="B64" s="3"/>
      <c r="C64" s="3"/>
      <c r="D64" s="3"/>
      <c r="E64" s="3"/>
      <c r="F64" s="4">
        <f>SUM(Tabela1[[#This Row],[Initial days]:[Late days]])</f>
        <v>0</v>
      </c>
      <c r="G64" s="5"/>
      <c r="H64" s="5"/>
      <c r="I64" s="5"/>
      <c r="J64" s="5"/>
    </row>
    <row r="65" spans="1:13" x14ac:dyDescent="0.35">
      <c r="A65" t="s">
        <v>86</v>
      </c>
      <c r="B65" s="3">
        <v>25</v>
      </c>
      <c r="C65" s="3">
        <v>40</v>
      </c>
      <c r="D65" s="3">
        <v>80</v>
      </c>
      <c r="E65" s="3">
        <v>10</v>
      </c>
      <c r="F65" s="4">
        <f>SUM(Tabela1[[#This Row],[Initial days]:[Late days]])</f>
        <v>155</v>
      </c>
      <c r="G65" s="3">
        <v>0.3</v>
      </c>
      <c r="H65" s="3">
        <v>1.05</v>
      </c>
      <c r="I65" s="3">
        <v>0.85</v>
      </c>
      <c r="J65" s="5">
        <v>5</v>
      </c>
      <c r="K65" s="6" t="s">
        <v>189</v>
      </c>
      <c r="M65" t="s">
        <v>87</v>
      </c>
    </row>
    <row r="66" spans="1:13" x14ac:dyDescent="0.35">
      <c r="A66" t="s">
        <v>88</v>
      </c>
      <c r="B66" s="3"/>
      <c r="C66" s="3"/>
      <c r="D66" s="3"/>
      <c r="E66" s="3"/>
      <c r="F66" s="4">
        <f>SUM(Tabela1[[#This Row],[Initial days]:[Late days]])</f>
        <v>0</v>
      </c>
      <c r="G66" s="5"/>
      <c r="H66" s="5"/>
      <c r="I66" s="5"/>
      <c r="J66" s="5"/>
    </row>
    <row r="67" spans="1:13" x14ac:dyDescent="0.35">
      <c r="A67" s="33" t="s">
        <v>89</v>
      </c>
      <c r="B67" s="34"/>
      <c r="C67" s="34"/>
      <c r="D67" s="34"/>
      <c r="E67" s="34"/>
      <c r="F67" s="35">
        <f>SUM(Tabela1[[#This Row],[Initial days]:[Late days]])</f>
        <v>0</v>
      </c>
      <c r="G67" s="34">
        <v>0.4</v>
      </c>
      <c r="H67" s="34">
        <v>1.05</v>
      </c>
      <c r="I67" s="34">
        <v>1.05</v>
      </c>
      <c r="J67" s="34">
        <v>3</v>
      </c>
    </row>
    <row r="68" spans="1:13" x14ac:dyDescent="0.35">
      <c r="A68" t="s">
        <v>90</v>
      </c>
      <c r="B68" s="3"/>
      <c r="C68" s="3"/>
      <c r="D68" s="3"/>
      <c r="E68" s="3"/>
      <c r="F68" s="4">
        <f>SUM(Tabela1[[#This Row],[Initial days]:[Late days]])</f>
        <v>0</v>
      </c>
      <c r="G68" s="5"/>
      <c r="H68" s="5"/>
      <c r="I68" s="5"/>
      <c r="J68" s="5"/>
    </row>
    <row r="69" spans="1:13" x14ac:dyDescent="0.35">
      <c r="A69" t="s">
        <v>91</v>
      </c>
      <c r="B69" s="3"/>
      <c r="C69" s="3"/>
      <c r="D69" s="3"/>
      <c r="E69" s="3"/>
      <c r="F69" s="4">
        <f>SUM(Tabela1[[#This Row],[Initial days]:[Late days]])</f>
        <v>0</v>
      </c>
      <c r="G69" s="5"/>
      <c r="H69" s="5"/>
      <c r="I69" s="5"/>
      <c r="J69" s="5"/>
    </row>
    <row r="70" spans="1:13" s="24" customFormat="1" x14ac:dyDescent="0.35">
      <c r="A70" s="24" t="s">
        <v>92</v>
      </c>
      <c r="B70" s="25">
        <v>25</v>
      </c>
      <c r="C70" s="25">
        <v>35</v>
      </c>
      <c r="D70" s="25">
        <v>70</v>
      </c>
      <c r="E70" s="25">
        <v>40</v>
      </c>
      <c r="F70" s="26">
        <v>170</v>
      </c>
      <c r="G70" s="25">
        <v>0.4</v>
      </c>
      <c r="H70" s="25">
        <v>1.1000000000000001</v>
      </c>
      <c r="I70" s="25">
        <v>0.3</v>
      </c>
      <c r="J70" s="25">
        <v>0.5</v>
      </c>
      <c r="K70" s="24" t="s">
        <v>211</v>
      </c>
      <c r="M70" s="24" t="s">
        <v>210</v>
      </c>
    </row>
    <row r="71" spans="1:13" s="24" customFormat="1" x14ac:dyDescent="0.35">
      <c r="A71" s="24" t="s">
        <v>94</v>
      </c>
      <c r="B71" s="25">
        <v>20</v>
      </c>
      <c r="C71" s="25">
        <v>30</v>
      </c>
      <c r="D71" s="25">
        <v>15</v>
      </c>
      <c r="E71" s="25">
        <v>10</v>
      </c>
      <c r="F71" s="26">
        <f>SUM(Tabela1[[#This Row],[Initial days]:[Late days]])</f>
        <v>75</v>
      </c>
      <c r="G71" s="25">
        <v>0.7</v>
      </c>
      <c r="H71" s="25">
        <v>1</v>
      </c>
      <c r="I71" s="25">
        <v>0.95</v>
      </c>
      <c r="J71" s="25">
        <v>0.3</v>
      </c>
      <c r="K71" s="28" t="s">
        <v>188</v>
      </c>
      <c r="M71" s="24" t="s">
        <v>95</v>
      </c>
    </row>
    <row r="72" spans="1:13" x14ac:dyDescent="0.35">
      <c r="A72" t="s">
        <v>96</v>
      </c>
      <c r="B72" s="3"/>
      <c r="C72" s="3"/>
      <c r="D72" s="3"/>
      <c r="E72" s="3"/>
      <c r="F72" s="4">
        <f>SUM(Tabela1[[#This Row],[Initial days]:[Late days]])</f>
        <v>0</v>
      </c>
      <c r="G72" s="5"/>
      <c r="H72" s="5"/>
      <c r="I72" s="5"/>
      <c r="J72" s="5"/>
    </row>
    <row r="73" spans="1:13" x14ac:dyDescent="0.35">
      <c r="A73" t="s">
        <v>97</v>
      </c>
      <c r="B73" s="3"/>
      <c r="C73" s="3"/>
      <c r="D73" s="3"/>
      <c r="E73" s="3"/>
      <c r="F73" s="4">
        <f>SUM(Tabela1[[#This Row],[Initial days]:[Late days]])</f>
        <v>0</v>
      </c>
      <c r="G73" s="5"/>
      <c r="H73" s="5"/>
      <c r="I73" s="5"/>
      <c r="J73" s="5"/>
    </row>
    <row r="74" spans="1:13" s="24" customFormat="1" ht="16.5" x14ac:dyDescent="0.35">
      <c r="A74" s="24" t="s">
        <v>98</v>
      </c>
      <c r="B74" s="25">
        <v>25</v>
      </c>
      <c r="C74" s="25">
        <v>40</v>
      </c>
      <c r="D74" s="25">
        <v>45</v>
      </c>
      <c r="E74" s="25">
        <v>30</v>
      </c>
      <c r="F74" s="26">
        <f>SUM(Tabela1[[#This Row],[Initial days]:[Late days]])</f>
        <v>140</v>
      </c>
      <c r="G74" s="25">
        <v>0.3</v>
      </c>
      <c r="H74" s="25">
        <v>1.2</v>
      </c>
      <c r="I74" s="29" t="s">
        <v>318</v>
      </c>
      <c r="J74" s="29">
        <v>2</v>
      </c>
      <c r="K74" s="24" t="s">
        <v>219</v>
      </c>
      <c r="M74" s="24" t="s">
        <v>220</v>
      </c>
    </row>
    <row r="75" spans="1:13" s="24" customFormat="1" x14ac:dyDescent="0.35">
      <c r="A75" s="24" t="s">
        <v>99</v>
      </c>
      <c r="B75" s="25">
        <v>20</v>
      </c>
      <c r="C75" s="25">
        <v>30</v>
      </c>
      <c r="D75" s="25">
        <v>50</v>
      </c>
      <c r="E75" s="25">
        <v>10</v>
      </c>
      <c r="F75" s="26">
        <f>SUM(Tabela1[[#This Row],[Initial days]:[Late days]])</f>
        <v>110</v>
      </c>
      <c r="G75" s="25">
        <v>0.3</v>
      </c>
      <c r="H75" s="25">
        <v>1.1499999999999999</v>
      </c>
      <c r="I75" s="25">
        <v>1.0511999999999999</v>
      </c>
      <c r="J75" s="25">
        <v>1.5</v>
      </c>
      <c r="K75" s="28" t="s">
        <v>221</v>
      </c>
      <c r="M75" s="24" t="s">
        <v>222</v>
      </c>
    </row>
    <row r="76" spans="1:13" x14ac:dyDescent="0.35">
      <c r="A76" t="s">
        <v>100</v>
      </c>
      <c r="B76" s="3"/>
      <c r="C76" s="3"/>
      <c r="D76" s="3"/>
      <c r="E76" s="3"/>
      <c r="F76" s="4">
        <f>SUM(Tabela1[[#This Row],[Initial days]:[Late days]])</f>
        <v>0</v>
      </c>
      <c r="G76" s="5"/>
      <c r="H76" s="5"/>
      <c r="I76" s="5"/>
      <c r="J76" s="5"/>
    </row>
    <row r="77" spans="1:13" s="24" customFormat="1" x14ac:dyDescent="0.35">
      <c r="A77" s="24" t="s">
        <v>101</v>
      </c>
      <c r="B77" s="25">
        <v>25</v>
      </c>
      <c r="C77" s="25">
        <v>35</v>
      </c>
      <c r="D77" s="25">
        <v>40</v>
      </c>
      <c r="E77" s="25">
        <v>20</v>
      </c>
      <c r="F77" s="26">
        <f>SUM(Tabela1[[#This Row],[Initial days]:[Late days]])</f>
        <v>120</v>
      </c>
      <c r="G77" s="25">
        <v>0.5</v>
      </c>
      <c r="H77" s="25">
        <v>1.05</v>
      </c>
      <c r="I77" s="25">
        <v>0.75</v>
      </c>
      <c r="J77" s="25">
        <v>0.4</v>
      </c>
      <c r="M77" s="24" t="s">
        <v>20</v>
      </c>
    </row>
    <row r="78" spans="1:13" s="24" customFormat="1" x14ac:dyDescent="0.35">
      <c r="A78" s="24" t="s">
        <v>102</v>
      </c>
      <c r="B78" s="25">
        <v>15</v>
      </c>
      <c r="C78" s="25">
        <v>25</v>
      </c>
      <c r="D78" s="25">
        <v>40</v>
      </c>
      <c r="E78" s="25">
        <v>25</v>
      </c>
      <c r="F78" s="26">
        <f>SUM(Tabela1[[#This Row],[Initial days]:[Late days]])</f>
        <v>105</v>
      </c>
      <c r="G78" s="25">
        <v>0.3</v>
      </c>
      <c r="H78" s="25">
        <v>1</v>
      </c>
      <c r="I78" s="25">
        <v>0.3</v>
      </c>
      <c r="J78" s="25">
        <v>1.5</v>
      </c>
      <c r="K78" s="28" t="s">
        <v>212</v>
      </c>
      <c r="M78" s="24" t="s">
        <v>103</v>
      </c>
    </row>
    <row r="79" spans="1:13" x14ac:dyDescent="0.35">
      <c r="A79" t="s">
        <v>104</v>
      </c>
      <c r="B79" s="3"/>
      <c r="C79" s="3"/>
      <c r="D79" s="3"/>
      <c r="E79" s="3"/>
      <c r="F79" s="4">
        <f>SUM(Tabela1[[#This Row],[Initial days]:[Late days]])</f>
        <v>0</v>
      </c>
      <c r="G79" s="3">
        <v>0.6</v>
      </c>
      <c r="H79" s="3">
        <v>1.1499999999999999</v>
      </c>
      <c r="I79" s="3">
        <v>1.1000000000000001</v>
      </c>
      <c r="J79" s="5" t="s">
        <v>105</v>
      </c>
    </row>
    <row r="80" spans="1:13" x14ac:dyDescent="0.35">
      <c r="A80" t="s">
        <v>106</v>
      </c>
      <c r="B80" s="3"/>
      <c r="C80" s="3"/>
      <c r="D80" s="3"/>
      <c r="E80" s="3"/>
      <c r="F80" s="4">
        <f>SUM(Tabela1[[#This Row],[Initial days]:[Late days]])</f>
        <v>0</v>
      </c>
      <c r="G80" s="5"/>
      <c r="H80" s="5"/>
      <c r="I80" s="5"/>
      <c r="J80" s="5"/>
    </row>
    <row r="81" spans="1:13" x14ac:dyDescent="0.35">
      <c r="A81" t="s">
        <v>107</v>
      </c>
      <c r="B81" s="3"/>
      <c r="C81" s="3"/>
      <c r="D81" s="3"/>
      <c r="E81" s="3"/>
      <c r="F81" s="4">
        <f>SUM(Tabela1[[#This Row],[Initial days]:[Late days]])</f>
        <v>0</v>
      </c>
      <c r="G81" s="5"/>
      <c r="H81" s="5"/>
      <c r="I81" s="5"/>
      <c r="J81" s="5"/>
    </row>
    <row r="82" spans="1:13" x14ac:dyDescent="0.35">
      <c r="A82" t="s">
        <v>108</v>
      </c>
      <c r="B82" s="3"/>
      <c r="C82" s="3"/>
      <c r="D82" s="3"/>
      <c r="E82" s="3"/>
      <c r="F82" s="4">
        <f>SUM(Tabela1[[#This Row],[Initial days]:[Late days]])</f>
        <v>0</v>
      </c>
      <c r="G82" s="5"/>
      <c r="H82" s="5"/>
      <c r="I82" s="5"/>
      <c r="J82" s="5"/>
    </row>
    <row r="83" spans="1:13" x14ac:dyDescent="0.35">
      <c r="A83" t="s">
        <v>109</v>
      </c>
      <c r="B83" s="3"/>
      <c r="C83" s="3"/>
      <c r="D83" s="3"/>
      <c r="E83" s="3"/>
      <c r="F83" s="4">
        <f>SUM(Tabela1[[#This Row],[Initial days]:[Late days]])</f>
        <v>0</v>
      </c>
      <c r="G83" s="5"/>
      <c r="H83" s="5"/>
      <c r="I83" s="5"/>
      <c r="J83" s="5"/>
    </row>
    <row r="84" spans="1:13" s="24" customFormat="1" ht="15" customHeight="1" x14ac:dyDescent="0.35">
      <c r="A84" s="24" t="s">
        <v>110</v>
      </c>
      <c r="B84" s="25">
        <v>15</v>
      </c>
      <c r="C84" s="25">
        <v>25</v>
      </c>
      <c r="D84" s="25">
        <v>50</v>
      </c>
      <c r="E84" s="25">
        <v>30</v>
      </c>
      <c r="F84" s="26">
        <f>SUM(Tabela1[[#This Row],[Initial days]:[Late days]])</f>
        <v>120</v>
      </c>
      <c r="G84" s="25">
        <v>0.3</v>
      </c>
      <c r="H84" s="25">
        <v>1.1499999999999999</v>
      </c>
      <c r="I84" s="25">
        <v>0.25</v>
      </c>
      <c r="J84" s="29">
        <v>1</v>
      </c>
      <c r="K84" s="28" t="s">
        <v>207</v>
      </c>
      <c r="M84" s="24" t="s">
        <v>26</v>
      </c>
    </row>
    <row r="85" spans="1:13" x14ac:dyDescent="0.35">
      <c r="A85" t="s">
        <v>111</v>
      </c>
      <c r="B85" s="3"/>
      <c r="C85" s="3"/>
      <c r="D85" s="3"/>
      <c r="E85" s="3"/>
      <c r="F85" s="4">
        <f>SUM(Tabela1[[#This Row],[Initial days]:[Late days]])</f>
        <v>0</v>
      </c>
      <c r="G85" s="5"/>
      <c r="H85" s="5"/>
      <c r="I85" s="5"/>
      <c r="J85" s="5"/>
    </row>
    <row r="86" spans="1:13" x14ac:dyDescent="0.35">
      <c r="A86" t="s">
        <v>112</v>
      </c>
      <c r="B86" s="3">
        <v>30</v>
      </c>
      <c r="C86" s="3">
        <v>90</v>
      </c>
      <c r="D86" s="3">
        <v>60</v>
      </c>
      <c r="E86" s="3">
        <v>90</v>
      </c>
      <c r="F86" s="4">
        <f>SUM(Tabela1[[#This Row],[Initial days]:[Late days]])</f>
        <v>270</v>
      </c>
      <c r="G86" s="3">
        <v>0.65</v>
      </c>
      <c r="H86" s="3">
        <v>0.7</v>
      </c>
      <c r="I86" s="3">
        <v>0.7</v>
      </c>
      <c r="J86" s="5" t="s">
        <v>180</v>
      </c>
      <c r="K86" s="6" t="s">
        <v>232</v>
      </c>
      <c r="M86" t="s">
        <v>113</v>
      </c>
    </row>
    <row r="87" spans="1:13" s="24" customFormat="1" x14ac:dyDescent="0.35">
      <c r="A87" s="24" t="s">
        <v>114</v>
      </c>
      <c r="B87" s="25">
        <v>15</v>
      </c>
      <c r="C87" s="25">
        <v>25</v>
      </c>
      <c r="D87" s="25">
        <v>70</v>
      </c>
      <c r="E87" s="25">
        <v>40</v>
      </c>
      <c r="F87" s="26">
        <f>SUM(Tabela1[[#This Row],[Initial days]:[Late days]])</f>
        <v>150</v>
      </c>
      <c r="G87" s="25">
        <v>0.7</v>
      </c>
      <c r="H87" s="25">
        <v>1.05</v>
      </c>
      <c r="I87" s="25">
        <v>0.75</v>
      </c>
      <c r="J87" s="25">
        <v>0.4</v>
      </c>
      <c r="K87" s="28" t="s">
        <v>189</v>
      </c>
      <c r="M87" s="24" t="s">
        <v>20</v>
      </c>
    </row>
    <row r="88" spans="1:13" s="24" customFormat="1" x14ac:dyDescent="0.35">
      <c r="A88" s="24" t="s">
        <v>115</v>
      </c>
      <c r="B88" s="25">
        <v>25</v>
      </c>
      <c r="C88" s="25">
        <v>30</v>
      </c>
      <c r="D88" s="25">
        <v>10</v>
      </c>
      <c r="E88" s="25">
        <v>5</v>
      </c>
      <c r="F88" s="26">
        <f>SUM(Tabela1[[#This Row],[Initial days]:[Late days]])</f>
        <v>70</v>
      </c>
      <c r="G88" s="25">
        <v>0.7</v>
      </c>
      <c r="H88" s="25">
        <v>1</v>
      </c>
      <c r="I88" s="25">
        <v>1</v>
      </c>
      <c r="J88" s="25">
        <v>0.3</v>
      </c>
      <c r="K88" s="28" t="s">
        <v>190</v>
      </c>
      <c r="M88" s="24" t="s">
        <v>20</v>
      </c>
    </row>
    <row r="89" spans="1:13" x14ac:dyDescent="0.35">
      <c r="A89" t="s">
        <v>116</v>
      </c>
      <c r="B89" s="3"/>
      <c r="C89" s="3"/>
      <c r="D89" s="3"/>
      <c r="E89" s="3"/>
      <c r="F89" s="4">
        <f>SUM(Tabela1[[#This Row],[Initial days]:[Late days]])</f>
        <v>0</v>
      </c>
      <c r="G89" s="5"/>
      <c r="H89" s="5"/>
      <c r="I89" s="5"/>
      <c r="J89" s="5"/>
    </row>
    <row r="90" spans="1:13" x14ac:dyDescent="0.35">
      <c r="A90" t="s">
        <v>117</v>
      </c>
      <c r="B90" s="3"/>
      <c r="C90" s="3"/>
      <c r="D90" s="3"/>
      <c r="E90" s="3"/>
      <c r="F90" s="4">
        <f>SUM(Tabela1[[#This Row],[Initial days]:[Late days]])</f>
        <v>0</v>
      </c>
      <c r="G90" s="5"/>
      <c r="H90" s="5"/>
      <c r="I90" s="5"/>
      <c r="J90" s="5"/>
    </row>
    <row r="91" spans="1:13" x14ac:dyDescent="0.35">
      <c r="A91" s="33" t="s">
        <v>118</v>
      </c>
      <c r="B91" s="34"/>
      <c r="C91" s="34"/>
      <c r="D91" s="34"/>
      <c r="E91" s="34"/>
      <c r="F91" s="35">
        <f>SUM(Tabela1[[#This Row],[Initial days]:[Late days]])</f>
        <v>0</v>
      </c>
      <c r="G91" s="34">
        <v>0.55000000000000004</v>
      </c>
      <c r="H91" s="34">
        <v>0.9</v>
      </c>
      <c r="I91" s="34">
        <v>0.65180000000000005</v>
      </c>
      <c r="J91" s="36">
        <v>3</v>
      </c>
      <c r="M91" t="s">
        <v>14</v>
      </c>
    </row>
    <row r="92" spans="1:13" x14ac:dyDescent="0.35">
      <c r="A92" s="33" t="s">
        <v>119</v>
      </c>
      <c r="B92" s="34"/>
      <c r="C92" s="34"/>
      <c r="D92" s="34"/>
      <c r="E92" s="34"/>
      <c r="F92" s="35">
        <f>SUM(Tabela1[[#This Row],[Initial days]:[Late days]])</f>
        <v>0</v>
      </c>
      <c r="G92" s="34">
        <v>0.6</v>
      </c>
      <c r="H92" s="34">
        <v>0.95</v>
      </c>
      <c r="I92" s="34">
        <v>0.75180000000000002</v>
      </c>
      <c r="J92" s="36">
        <v>4</v>
      </c>
      <c r="M92" t="s">
        <v>14</v>
      </c>
    </row>
    <row r="93" spans="1:13" s="24" customFormat="1" x14ac:dyDescent="0.35">
      <c r="A93" s="24" t="s">
        <v>120</v>
      </c>
      <c r="B93" s="25">
        <v>15</v>
      </c>
      <c r="C93" s="25">
        <v>25</v>
      </c>
      <c r="D93" s="25">
        <v>35</v>
      </c>
      <c r="E93" s="25">
        <v>15</v>
      </c>
      <c r="F93" s="26">
        <f>SUM(Tabela1[[#This Row],[Initial days]:[Late days]])</f>
        <v>90</v>
      </c>
      <c r="G93" s="25">
        <v>0.5</v>
      </c>
      <c r="H93" s="25">
        <v>1.1499999999999999</v>
      </c>
      <c r="I93" s="25">
        <v>0.3</v>
      </c>
      <c r="J93" s="25">
        <v>0.5</v>
      </c>
      <c r="K93" s="28" t="s">
        <v>206</v>
      </c>
      <c r="M93" s="24" t="s">
        <v>93</v>
      </c>
    </row>
    <row r="94" spans="1:13" x14ac:dyDescent="0.35">
      <c r="A94" t="s">
        <v>121</v>
      </c>
      <c r="B94" s="3"/>
      <c r="C94" s="3"/>
      <c r="D94" s="3"/>
      <c r="E94" s="3"/>
      <c r="F94" s="4">
        <f>SUM(Tabela1[[#This Row],[Initial days]:[Late days]])</f>
        <v>0</v>
      </c>
      <c r="G94" s="5"/>
      <c r="H94" s="5"/>
      <c r="I94" s="5"/>
      <c r="J94" s="5"/>
    </row>
    <row r="95" spans="1:13" x14ac:dyDescent="0.35">
      <c r="A95" t="s">
        <v>122</v>
      </c>
      <c r="B95" s="3"/>
      <c r="C95" s="3"/>
      <c r="D95" s="3"/>
      <c r="E95" s="3"/>
      <c r="F95" s="4">
        <f>SUM(Tabela1[[#This Row],[Initial days]:[Late days]])</f>
        <v>0</v>
      </c>
      <c r="G95" s="5"/>
      <c r="H95" s="5"/>
      <c r="I95" s="5"/>
      <c r="J95" s="5"/>
    </row>
    <row r="96" spans="1:13" x14ac:dyDescent="0.35">
      <c r="A96" t="s">
        <v>123</v>
      </c>
      <c r="B96" s="3">
        <v>60</v>
      </c>
      <c r="C96" s="3">
        <v>120</v>
      </c>
      <c r="D96" s="3">
        <v>600</v>
      </c>
      <c r="E96" s="3">
        <v>10</v>
      </c>
      <c r="F96" s="4">
        <f>SUM(Tabela1[[#This Row],[Initial days]:[Late days]])</f>
        <v>790</v>
      </c>
      <c r="G96" s="3">
        <v>0.5</v>
      </c>
      <c r="H96" s="3">
        <v>0.3</v>
      </c>
      <c r="I96" s="3">
        <v>0.3</v>
      </c>
      <c r="J96" s="5" t="s">
        <v>124</v>
      </c>
      <c r="K96" t="s">
        <v>230</v>
      </c>
      <c r="M96" t="s">
        <v>125</v>
      </c>
    </row>
    <row r="97" spans="1:13" x14ac:dyDescent="0.35">
      <c r="A97" t="s">
        <v>126</v>
      </c>
      <c r="B97" s="3">
        <v>20</v>
      </c>
      <c r="C97" s="3">
        <v>60</v>
      </c>
      <c r="D97" s="3">
        <v>30</v>
      </c>
      <c r="E97" s="3">
        <v>40</v>
      </c>
      <c r="F97" s="4">
        <f>SUM(Tabela1[[#This Row],[Initial days]:[Late days]])</f>
        <v>150</v>
      </c>
      <c r="G97" s="3">
        <v>0.4</v>
      </c>
      <c r="H97" s="3">
        <v>1.1000000000000001</v>
      </c>
      <c r="I97" s="3">
        <v>0.45</v>
      </c>
      <c r="J97" s="5" t="s">
        <v>180</v>
      </c>
      <c r="K97" s="6" t="s">
        <v>214</v>
      </c>
      <c r="M97" t="s">
        <v>22</v>
      </c>
    </row>
    <row r="98" spans="1:13" x14ac:dyDescent="0.35">
      <c r="A98" t="s">
        <v>127</v>
      </c>
      <c r="B98" s="3"/>
      <c r="C98" s="3"/>
      <c r="D98" s="3"/>
      <c r="E98" s="3"/>
      <c r="F98" s="4">
        <f>SUM(Tabela1[[#This Row],[Initial days]:[Late days]])</f>
        <v>0</v>
      </c>
      <c r="G98" s="5"/>
      <c r="H98" s="5"/>
      <c r="I98" s="5"/>
      <c r="J98" s="5"/>
    </row>
    <row r="99" spans="1:13" x14ac:dyDescent="0.35">
      <c r="A99" t="s">
        <v>128</v>
      </c>
      <c r="B99" s="3"/>
      <c r="C99" s="3"/>
      <c r="D99" s="3"/>
      <c r="E99" s="3"/>
      <c r="F99" s="4">
        <f>SUM(Tabela1[[#This Row],[Initial days]:[Late days]])</f>
        <v>0</v>
      </c>
      <c r="G99" s="5"/>
      <c r="H99" s="5"/>
      <c r="I99" s="5"/>
      <c r="J99" s="5"/>
    </row>
    <row r="100" spans="1:13" x14ac:dyDescent="0.35">
      <c r="A100" t="s">
        <v>129</v>
      </c>
      <c r="B100" s="3"/>
      <c r="C100" s="3"/>
      <c r="D100" s="3"/>
      <c r="E100" s="3"/>
      <c r="F100" s="4">
        <f>SUM(Tabela1[[#This Row],[Initial days]:[Late days]])</f>
        <v>0</v>
      </c>
      <c r="G100" s="5"/>
      <c r="H100" s="5"/>
      <c r="I100" s="5"/>
      <c r="J100" s="5"/>
    </row>
    <row r="101" spans="1:13" s="24" customFormat="1" x14ac:dyDescent="0.35">
      <c r="A101" s="24" t="s">
        <v>130</v>
      </c>
      <c r="B101" s="25">
        <v>25</v>
      </c>
      <c r="C101" s="25">
        <v>30</v>
      </c>
      <c r="D101" s="25">
        <v>45</v>
      </c>
      <c r="E101" s="25">
        <v>30</v>
      </c>
      <c r="F101" s="26">
        <f>SUM(Tabela1[[#This Row],[Initial days]:[Late days]])</f>
        <v>130</v>
      </c>
      <c r="G101" s="25">
        <v>0.5</v>
      </c>
      <c r="H101" s="25">
        <v>1.1499999999999999</v>
      </c>
      <c r="I101" s="25">
        <v>0.754</v>
      </c>
      <c r="J101" s="25">
        <v>0.6</v>
      </c>
      <c r="K101" s="28" t="s">
        <v>206</v>
      </c>
      <c r="M101" s="24" t="s">
        <v>131</v>
      </c>
    </row>
    <row r="102" spans="1:13" x14ac:dyDescent="0.35">
      <c r="A102" t="s">
        <v>132</v>
      </c>
      <c r="B102" s="3"/>
      <c r="C102" s="3"/>
      <c r="D102" s="3"/>
      <c r="E102" s="3"/>
      <c r="F102" s="4">
        <f>SUM(Tabela1[[#This Row],[Initial days]:[Late days]])</f>
        <v>0</v>
      </c>
      <c r="G102" s="5"/>
      <c r="H102" s="5"/>
      <c r="I102" s="5"/>
      <c r="J102" s="5"/>
    </row>
    <row r="103" spans="1:13" s="24" customFormat="1" x14ac:dyDescent="0.35">
      <c r="A103" s="24" t="s">
        <v>133</v>
      </c>
      <c r="B103" s="25">
        <v>20</v>
      </c>
      <c r="C103" s="25">
        <v>30</v>
      </c>
      <c r="D103" s="25">
        <v>30</v>
      </c>
      <c r="E103" s="25">
        <v>20</v>
      </c>
      <c r="F103" s="26">
        <f>SUM(Tabela1[[#This Row],[Initial days]:[Late days]])</f>
        <v>100</v>
      </c>
      <c r="G103" s="25">
        <v>0.5</v>
      </c>
      <c r="H103" s="25">
        <v>1</v>
      </c>
      <c r="I103" s="25">
        <v>0.8</v>
      </c>
      <c r="J103" s="25">
        <v>0.4</v>
      </c>
      <c r="K103" s="28" t="s">
        <v>198</v>
      </c>
      <c r="M103" s="24" t="s">
        <v>199</v>
      </c>
    </row>
    <row r="104" spans="1:13" x14ac:dyDescent="0.35">
      <c r="A104" t="s">
        <v>134</v>
      </c>
      <c r="B104" s="3"/>
      <c r="C104" s="3"/>
      <c r="D104" s="3"/>
      <c r="E104" s="3"/>
      <c r="F104" s="4">
        <f>SUM(Tabela1[[#This Row],[Initial days]:[Late days]])</f>
        <v>0</v>
      </c>
      <c r="G104" s="5"/>
      <c r="H104" s="5"/>
      <c r="I104" s="5"/>
      <c r="J104" s="5"/>
    </row>
    <row r="105" spans="1:13" s="24" customFormat="1" x14ac:dyDescent="0.35">
      <c r="A105" s="24" t="s">
        <v>135</v>
      </c>
      <c r="B105" s="25">
        <v>5</v>
      </c>
      <c r="C105" s="25">
        <v>10</v>
      </c>
      <c r="D105" s="25">
        <v>15</v>
      </c>
      <c r="E105" s="25">
        <v>5</v>
      </c>
      <c r="F105" s="26">
        <f>SUM(Tabela1[[#This Row],[Initial days]:[Late days]])</f>
        <v>35</v>
      </c>
      <c r="G105" s="25">
        <v>0.7</v>
      </c>
      <c r="H105" s="25">
        <v>0.9</v>
      </c>
      <c r="I105" s="25">
        <v>0.85</v>
      </c>
      <c r="J105" s="25">
        <v>0.3</v>
      </c>
      <c r="K105" s="24" t="s">
        <v>192</v>
      </c>
      <c r="M105" s="24" t="s">
        <v>136</v>
      </c>
    </row>
    <row r="106" spans="1:13" ht="16.5" x14ac:dyDescent="0.35">
      <c r="A106" t="s">
        <v>137</v>
      </c>
      <c r="B106" s="3"/>
      <c r="C106" s="3"/>
      <c r="D106" s="3"/>
      <c r="E106" s="3"/>
      <c r="F106" s="4">
        <f>SUM(Tabela1[[#This Row],[Initial days]:[Late days]])</f>
        <v>0</v>
      </c>
      <c r="G106" s="3">
        <v>0.35</v>
      </c>
      <c r="H106" s="5" t="s">
        <v>176</v>
      </c>
      <c r="I106" s="3">
        <v>0.35</v>
      </c>
      <c r="J106" s="3">
        <v>0.6</v>
      </c>
    </row>
    <row r="107" spans="1:13" x14ac:dyDescent="0.35">
      <c r="A107" t="s">
        <v>138</v>
      </c>
      <c r="B107" s="3"/>
      <c r="C107" s="3"/>
      <c r="D107" s="3"/>
      <c r="E107" s="3"/>
      <c r="F107" s="4">
        <f>SUM(Tabela1[[#This Row],[Initial days]:[Late days]])</f>
        <v>0</v>
      </c>
      <c r="G107" s="5"/>
      <c r="H107" s="5"/>
      <c r="I107" s="5"/>
      <c r="J107" s="5"/>
    </row>
    <row r="108" spans="1:13" s="24" customFormat="1" x14ac:dyDescent="0.35">
      <c r="A108" s="24" t="s">
        <v>139</v>
      </c>
      <c r="B108" s="25">
        <v>30</v>
      </c>
      <c r="C108" s="25">
        <v>30</v>
      </c>
      <c r="D108" s="25">
        <v>80</v>
      </c>
      <c r="E108" s="25">
        <v>40</v>
      </c>
      <c r="F108" s="26">
        <f>SUM(Tabela1[[#This Row],[Initial days]:[Late days]])</f>
        <v>180</v>
      </c>
      <c r="G108" s="25">
        <v>1.05</v>
      </c>
      <c r="H108" s="25">
        <v>1.2</v>
      </c>
      <c r="I108" s="29" t="s">
        <v>140</v>
      </c>
      <c r="J108" s="25">
        <v>1</v>
      </c>
      <c r="K108" s="28" t="s">
        <v>206</v>
      </c>
      <c r="M108" s="24" t="s">
        <v>141</v>
      </c>
    </row>
    <row r="109" spans="1:13" x14ac:dyDescent="0.35">
      <c r="A109" t="s">
        <v>142</v>
      </c>
      <c r="B109" s="3"/>
      <c r="C109" s="3"/>
      <c r="D109" s="3"/>
      <c r="E109" s="3"/>
      <c r="F109" s="4">
        <f>SUM(Tabela1[[#This Row],[Initial days]:[Late days]])</f>
        <v>0</v>
      </c>
      <c r="G109" s="5"/>
      <c r="H109" s="5"/>
      <c r="I109" s="5"/>
      <c r="J109" s="5"/>
    </row>
    <row r="110" spans="1:13" x14ac:dyDescent="0.35">
      <c r="A110" t="s">
        <v>143</v>
      </c>
      <c r="B110" s="3"/>
      <c r="C110" s="3"/>
      <c r="D110" s="3"/>
      <c r="E110" s="3"/>
      <c r="F110" s="4">
        <f>SUM(Tabela1[[#This Row],[Initial days]:[Late days]])</f>
        <v>0</v>
      </c>
      <c r="G110" s="5"/>
      <c r="H110" s="5"/>
      <c r="I110" s="5"/>
      <c r="J110" s="5"/>
    </row>
    <row r="111" spans="1:13" s="24" customFormat="1" x14ac:dyDescent="0.35">
      <c r="A111" s="24" t="s">
        <v>144</v>
      </c>
      <c r="B111" s="25">
        <v>20</v>
      </c>
      <c r="C111" s="25">
        <v>30</v>
      </c>
      <c r="D111" s="25">
        <v>40</v>
      </c>
      <c r="E111" s="25">
        <v>20</v>
      </c>
      <c r="F111" s="26">
        <f>SUM(Tabela1[[#This Row],[Initial days]:[Late days]])</f>
        <v>110</v>
      </c>
      <c r="G111" s="25">
        <v>0.35</v>
      </c>
      <c r="H111" s="25">
        <v>1.1000000000000001</v>
      </c>
      <c r="I111" s="25">
        <v>0.25</v>
      </c>
      <c r="J111" s="25">
        <v>1</v>
      </c>
      <c r="K111" s="28" t="s">
        <v>212</v>
      </c>
      <c r="M111" s="24" t="s">
        <v>145</v>
      </c>
    </row>
    <row r="112" spans="1:13" s="24" customFormat="1" x14ac:dyDescent="0.35">
      <c r="A112" s="24" t="s">
        <v>146</v>
      </c>
      <c r="B112" s="25">
        <v>20</v>
      </c>
      <c r="C112" s="25">
        <v>35</v>
      </c>
      <c r="D112" s="25">
        <v>45</v>
      </c>
      <c r="E112" s="25">
        <v>30</v>
      </c>
      <c r="F112" s="26">
        <f>SUM(Tabela1[[#This Row],[Initial days]:[Late days]])</f>
        <v>130</v>
      </c>
      <c r="G112" s="25">
        <v>0.3</v>
      </c>
      <c r="H112" s="29" t="s">
        <v>147</v>
      </c>
      <c r="I112" s="25">
        <v>0.55000000000000004</v>
      </c>
      <c r="J112" s="29" t="s">
        <v>177</v>
      </c>
      <c r="K112" s="28" t="s">
        <v>223</v>
      </c>
      <c r="M112" s="24" t="s">
        <v>72</v>
      </c>
    </row>
    <row r="113" spans="1:13" s="24" customFormat="1" x14ac:dyDescent="0.35">
      <c r="A113" s="24" t="s">
        <v>148</v>
      </c>
      <c r="B113" s="25">
        <v>20</v>
      </c>
      <c r="C113" s="25">
        <v>25</v>
      </c>
      <c r="D113" s="25">
        <v>75</v>
      </c>
      <c r="E113" s="25">
        <v>30</v>
      </c>
      <c r="F113" s="26">
        <f>SUM(Tabela1[[#This Row],[Initial days]:[Late days]])</f>
        <v>150</v>
      </c>
      <c r="G113" s="25">
        <v>0.5</v>
      </c>
      <c r="H113" s="25">
        <v>1.1499999999999999</v>
      </c>
      <c r="I113" s="25">
        <v>0.5</v>
      </c>
      <c r="J113" s="29" t="s">
        <v>149</v>
      </c>
      <c r="K113" s="28" t="s">
        <v>212</v>
      </c>
      <c r="M113" s="24" t="s">
        <v>150</v>
      </c>
    </row>
    <row r="114" spans="1:13" s="24" customFormat="1" x14ac:dyDescent="0.35">
      <c r="A114" s="24" t="s">
        <v>151</v>
      </c>
      <c r="B114" s="25">
        <v>20</v>
      </c>
      <c r="C114" s="25">
        <v>20</v>
      </c>
      <c r="D114" s="25">
        <v>25</v>
      </c>
      <c r="E114" s="25">
        <v>5</v>
      </c>
      <c r="F114" s="26">
        <f>SUM(Tabela1[[#This Row],[Initial days]:[Late days]])</f>
        <v>70</v>
      </c>
      <c r="G114" s="25">
        <v>0.7</v>
      </c>
      <c r="H114" s="25">
        <v>1</v>
      </c>
      <c r="I114" s="25">
        <v>0.95</v>
      </c>
      <c r="J114" s="25">
        <v>0.3</v>
      </c>
      <c r="K114" s="24" t="s">
        <v>191</v>
      </c>
      <c r="M114" s="24" t="s">
        <v>20</v>
      </c>
    </row>
    <row r="115" spans="1:13" x14ac:dyDescent="0.35">
      <c r="A115" s="33" t="s">
        <v>152</v>
      </c>
      <c r="B115" s="34"/>
      <c r="C115" s="34"/>
      <c r="D115" s="34"/>
      <c r="E115" s="34"/>
      <c r="F115" s="35">
        <f>SUM(Tabela1[[#This Row],[Initial days]:[Late days]])</f>
        <v>0</v>
      </c>
      <c r="G115" s="34">
        <v>0.4</v>
      </c>
      <c r="H115" s="34">
        <v>0.85</v>
      </c>
      <c r="I115" s="34">
        <v>0.75</v>
      </c>
      <c r="J115" s="34">
        <v>0.2</v>
      </c>
    </row>
    <row r="116" spans="1:13" x14ac:dyDescent="0.35">
      <c r="A116" t="s">
        <v>153</v>
      </c>
      <c r="B116" s="3">
        <v>35</v>
      </c>
      <c r="C116" s="3">
        <v>60</v>
      </c>
      <c r="D116" s="3">
        <v>70</v>
      </c>
      <c r="E116" s="3">
        <v>40</v>
      </c>
      <c r="F116" s="4">
        <f>SUM(Tabela1[[#This Row],[Initial days]:[Late days]])</f>
        <v>205</v>
      </c>
      <c r="G116" s="3">
        <v>0.35</v>
      </c>
      <c r="H116" s="3">
        <v>1.2</v>
      </c>
      <c r="I116" s="3">
        <v>0.70499999999999996</v>
      </c>
      <c r="J116" s="3">
        <v>0.5</v>
      </c>
      <c r="K116" s="6" t="s">
        <v>207</v>
      </c>
      <c r="M116" t="s">
        <v>72</v>
      </c>
    </row>
    <row r="117" spans="1:13" x14ac:dyDescent="0.35">
      <c r="A117" t="s">
        <v>154</v>
      </c>
      <c r="B117" s="3">
        <v>50</v>
      </c>
      <c r="C117" s="3">
        <v>70</v>
      </c>
      <c r="D117" s="3">
        <v>220</v>
      </c>
      <c r="E117" s="3">
        <v>140</v>
      </c>
      <c r="F117" s="4">
        <f>SUM(Tabela1[[#This Row],[Initial days]:[Late days]])</f>
        <v>480</v>
      </c>
      <c r="G117" s="3">
        <v>0.4</v>
      </c>
      <c r="H117" s="3">
        <v>1.25</v>
      </c>
      <c r="I117" s="3">
        <v>0.75</v>
      </c>
      <c r="J117" s="3">
        <v>3</v>
      </c>
      <c r="K117" s="6" t="s">
        <v>230</v>
      </c>
      <c r="M117" t="s">
        <v>155</v>
      </c>
    </row>
    <row r="118" spans="1:13" s="24" customFormat="1" ht="16.5" x14ac:dyDescent="0.35">
      <c r="A118" s="24" t="s">
        <v>156</v>
      </c>
      <c r="B118" s="25">
        <v>25</v>
      </c>
      <c r="C118" s="25">
        <v>35</v>
      </c>
      <c r="D118" s="25">
        <v>45</v>
      </c>
      <c r="E118" s="25">
        <v>25</v>
      </c>
      <c r="F118" s="26">
        <f>SUM(Tabela1[[#This Row],[Initial days]:[Late days]])</f>
        <v>130</v>
      </c>
      <c r="G118" s="25">
        <v>0.35</v>
      </c>
      <c r="H118" s="29" t="s">
        <v>319</v>
      </c>
      <c r="I118" s="25">
        <v>0.35</v>
      </c>
      <c r="J118" s="25">
        <v>2</v>
      </c>
      <c r="K118" s="28" t="s">
        <v>190</v>
      </c>
      <c r="M118" s="24" t="s">
        <v>218</v>
      </c>
    </row>
    <row r="119" spans="1:13" s="24" customFormat="1" x14ac:dyDescent="0.35">
      <c r="A119" s="24" t="s">
        <v>157</v>
      </c>
      <c r="B119" s="25">
        <v>30</v>
      </c>
      <c r="C119" s="25">
        <v>35</v>
      </c>
      <c r="D119" s="25">
        <v>40</v>
      </c>
      <c r="E119" s="25">
        <v>20</v>
      </c>
      <c r="F119" s="26">
        <f>SUM(Tabela1[[#This Row],[Initial days]:[Late days]])</f>
        <v>125</v>
      </c>
      <c r="G119" s="25">
        <v>0.6</v>
      </c>
      <c r="H119" s="25">
        <v>1.052</v>
      </c>
      <c r="I119" s="25">
        <v>0.9</v>
      </c>
      <c r="J119" s="25">
        <v>0.7</v>
      </c>
      <c r="K119" s="28" t="s">
        <v>194</v>
      </c>
      <c r="M119" s="24" t="s">
        <v>195</v>
      </c>
    </row>
    <row r="120" spans="1:13" s="24" customFormat="1" x14ac:dyDescent="0.35">
      <c r="A120" s="24" t="s">
        <v>158</v>
      </c>
      <c r="B120" s="25">
        <v>20</v>
      </c>
      <c r="C120" s="25">
        <v>30</v>
      </c>
      <c r="D120" s="25">
        <v>60</v>
      </c>
      <c r="E120" s="25">
        <v>40</v>
      </c>
      <c r="F120" s="26">
        <f>SUM(Tabela1[[#This Row],[Initial days]:[Late days]])</f>
        <v>150</v>
      </c>
      <c r="G120" s="25">
        <v>0.5</v>
      </c>
      <c r="H120" s="25">
        <v>1.1499999999999999</v>
      </c>
      <c r="I120" s="25">
        <v>0.65</v>
      </c>
      <c r="J120" s="25">
        <v>0.4</v>
      </c>
      <c r="K120" s="24" t="s">
        <v>189</v>
      </c>
      <c r="M120" s="24" t="s">
        <v>20</v>
      </c>
    </row>
    <row r="121" spans="1:13" x14ac:dyDescent="0.35">
      <c r="A121" t="s">
        <v>159</v>
      </c>
      <c r="B121" s="3"/>
      <c r="C121" s="3"/>
      <c r="D121" s="3"/>
      <c r="E121" s="3"/>
      <c r="F121" s="4">
        <f>SUM(Tabela1[[#This Row],[Initial days]:[Late days]])</f>
        <v>0</v>
      </c>
      <c r="G121" s="5"/>
      <c r="H121" s="5"/>
      <c r="I121" s="5"/>
      <c r="J121" s="5"/>
    </row>
    <row r="122" spans="1:13" x14ac:dyDescent="0.35">
      <c r="A122" t="s">
        <v>160</v>
      </c>
      <c r="B122" s="3"/>
      <c r="C122" s="3"/>
      <c r="D122" s="3"/>
      <c r="E122" s="3"/>
      <c r="F122" s="4">
        <f>SUM(Tabela1[[#This Row],[Initial days]:[Late days]])</f>
        <v>0</v>
      </c>
      <c r="G122" s="5"/>
      <c r="H122" s="5"/>
      <c r="I122" s="5"/>
      <c r="J122" s="5"/>
    </row>
    <row r="123" spans="1:13" x14ac:dyDescent="0.35">
      <c r="A123" t="s">
        <v>161</v>
      </c>
      <c r="B123" s="3"/>
      <c r="C123" s="3"/>
      <c r="D123" s="3"/>
      <c r="E123" s="3"/>
      <c r="F123" s="4">
        <f>SUM(Tabela1[[#This Row],[Initial days]:[Late days]])</f>
        <v>0</v>
      </c>
      <c r="G123" s="3">
        <v>0.95</v>
      </c>
      <c r="H123" s="3">
        <v>1</v>
      </c>
      <c r="I123" s="3">
        <v>1</v>
      </c>
      <c r="J123" s="3">
        <v>1.5</v>
      </c>
      <c r="K123" s="1"/>
    </row>
    <row r="124" spans="1:13" x14ac:dyDescent="0.35">
      <c r="A124" t="s">
        <v>162</v>
      </c>
      <c r="B124" s="3"/>
      <c r="C124" s="3"/>
      <c r="D124" s="3"/>
      <c r="E124" s="3"/>
      <c r="F124" s="4">
        <f>SUM(Tabela1[[#This Row],[Initial days]:[Late days]])</f>
        <v>0</v>
      </c>
      <c r="G124" s="5"/>
      <c r="H124" s="5"/>
      <c r="I124" s="5"/>
      <c r="J124" s="5"/>
    </row>
    <row r="125" spans="1:13" s="24" customFormat="1" x14ac:dyDescent="0.35">
      <c r="A125" s="24" t="s">
        <v>163</v>
      </c>
      <c r="B125" s="25">
        <v>30</v>
      </c>
      <c r="C125" s="25">
        <v>40</v>
      </c>
      <c r="D125" s="25">
        <v>40</v>
      </c>
      <c r="E125" s="25">
        <v>25</v>
      </c>
      <c r="F125" s="26">
        <f>SUM(Tabela1[[#This Row],[Initial days]:[Late days]])</f>
        <v>135</v>
      </c>
      <c r="G125" s="25">
        <v>0.6</v>
      </c>
      <c r="H125" s="25">
        <v>1.1519999999999999</v>
      </c>
      <c r="I125" s="29" t="s">
        <v>164</v>
      </c>
      <c r="J125" s="25">
        <v>0.6</v>
      </c>
      <c r="K125" s="24" t="s">
        <v>196</v>
      </c>
      <c r="M125" s="24" t="s">
        <v>72</v>
      </c>
    </row>
    <row r="126" spans="1:13" x14ac:dyDescent="0.35">
      <c r="A126" t="s">
        <v>165</v>
      </c>
      <c r="B126" s="3"/>
      <c r="C126" s="3"/>
      <c r="D126" s="3"/>
      <c r="E126" s="3"/>
      <c r="F126" s="4">
        <f>SUM(Tabela1[[#This Row],[Initial days]:[Late days]])</f>
        <v>0</v>
      </c>
      <c r="G126" s="5"/>
      <c r="H126" s="5"/>
      <c r="I126" s="5"/>
      <c r="J126" s="5"/>
    </row>
    <row r="127" spans="1:13" x14ac:dyDescent="0.35">
      <c r="A127" t="s">
        <v>166</v>
      </c>
      <c r="B127" s="3"/>
      <c r="C127" s="3"/>
      <c r="D127" s="3"/>
      <c r="E127" s="3"/>
      <c r="F127" s="4">
        <f>SUM(Tabela1[[#This Row],[Initial days]:[Late days]])</f>
        <v>0</v>
      </c>
      <c r="G127" s="3">
        <v>0.5</v>
      </c>
      <c r="H127" s="3">
        <v>1.1000000000000001</v>
      </c>
      <c r="I127" s="3">
        <v>0.95</v>
      </c>
      <c r="J127" s="3">
        <v>0.6</v>
      </c>
    </row>
    <row r="128" spans="1:13" x14ac:dyDescent="0.35">
      <c r="A128" t="s">
        <v>167</v>
      </c>
      <c r="B128" s="3"/>
      <c r="C128" s="3"/>
      <c r="D128" s="3"/>
      <c r="E128" s="3"/>
      <c r="F128" s="4">
        <f>SUM(Tabela1[[#This Row],[Initial days]:[Late days]])</f>
        <v>0</v>
      </c>
      <c r="G128" s="5"/>
      <c r="H128" s="5"/>
      <c r="I128" s="5"/>
      <c r="J128" s="5"/>
    </row>
    <row r="129" spans="1:13" x14ac:dyDescent="0.35">
      <c r="A129" t="s">
        <v>168</v>
      </c>
      <c r="B129" s="3"/>
      <c r="C129" s="3"/>
      <c r="D129" s="3"/>
      <c r="E129" s="3"/>
      <c r="F129" s="4">
        <f>SUM(Tabela1[[#This Row],[Initial days]:[Late days]])</f>
        <v>0</v>
      </c>
      <c r="G129" s="5"/>
      <c r="H129" s="5"/>
      <c r="I129" s="5"/>
      <c r="J129" s="5"/>
    </row>
    <row r="130" spans="1:13" x14ac:dyDescent="0.35">
      <c r="A130" t="s">
        <v>169</v>
      </c>
      <c r="B130" s="3">
        <v>20</v>
      </c>
      <c r="C130" s="3">
        <v>10</v>
      </c>
      <c r="D130" s="3">
        <v>130</v>
      </c>
      <c r="E130" s="3">
        <v>30</v>
      </c>
      <c r="F130" s="4">
        <f>SUM(Tabela1[[#This Row],[Initial days]:[Late days]])</f>
        <v>190</v>
      </c>
      <c r="G130" s="3">
        <v>0.5</v>
      </c>
      <c r="H130" s="3">
        <v>1.1000000000000001</v>
      </c>
      <c r="I130" s="3">
        <v>0.65180000000000005</v>
      </c>
      <c r="J130" s="5" t="s">
        <v>181</v>
      </c>
      <c r="K130" s="6" t="s">
        <v>189</v>
      </c>
      <c r="M130" t="s">
        <v>170</v>
      </c>
    </row>
    <row r="131" spans="1:13" s="24" customFormat="1" x14ac:dyDescent="0.35">
      <c r="A131" s="24" t="s">
        <v>171</v>
      </c>
      <c r="B131" s="25">
        <v>20</v>
      </c>
      <c r="C131" s="25">
        <v>30</v>
      </c>
      <c r="D131" s="25">
        <v>30</v>
      </c>
      <c r="E131" s="25">
        <v>30</v>
      </c>
      <c r="F131" s="26">
        <f>SUM(Tabela1[[#This Row],[Initial days]:[Late days]])</f>
        <v>110</v>
      </c>
      <c r="G131" s="25">
        <v>0.4</v>
      </c>
      <c r="H131" s="25">
        <v>1</v>
      </c>
      <c r="I131" s="25">
        <v>0.75</v>
      </c>
      <c r="J131" s="25">
        <v>0.4</v>
      </c>
      <c r="K131" s="28" t="s">
        <v>189</v>
      </c>
      <c r="M131" s="24" t="s">
        <v>172</v>
      </c>
    </row>
    <row r="132" spans="1:13" s="24" customFormat="1" ht="16.5" x14ac:dyDescent="0.35">
      <c r="A132" s="24" t="s">
        <v>173</v>
      </c>
      <c r="B132" s="25">
        <v>15</v>
      </c>
      <c r="C132" s="25">
        <v>25</v>
      </c>
      <c r="D132" s="25">
        <v>50</v>
      </c>
      <c r="E132" s="25">
        <v>30</v>
      </c>
      <c r="F132" s="26">
        <f>SUM(Tabela1[[#This Row],[Initial days]:[Late days]])</f>
        <v>120</v>
      </c>
      <c r="G132" s="25">
        <v>0.3</v>
      </c>
      <c r="H132" s="25">
        <v>1.1499999999999999</v>
      </c>
      <c r="I132" s="29" t="s">
        <v>320</v>
      </c>
      <c r="J132" s="29">
        <v>1</v>
      </c>
      <c r="K132" s="28" t="s">
        <v>207</v>
      </c>
      <c r="M132" s="24" t="s">
        <v>26</v>
      </c>
    </row>
    <row r="133" spans="1:13" x14ac:dyDescent="0.35">
      <c r="A133" t="s">
        <v>174</v>
      </c>
      <c r="B133" s="3"/>
      <c r="C133" s="3"/>
      <c r="D133" s="3"/>
      <c r="E133" s="3"/>
      <c r="F133" s="4">
        <f>SUM(Tabela1[[#This Row],[Initial days]:[Late days]])</f>
        <v>0</v>
      </c>
      <c r="G133" s="5"/>
      <c r="H133" s="5"/>
      <c r="I133" s="5"/>
      <c r="J133" s="5"/>
    </row>
    <row r="134" spans="1:13" s="24" customFormat="1" x14ac:dyDescent="0.35">
      <c r="A134" s="24" t="s">
        <v>175</v>
      </c>
      <c r="B134" s="25">
        <v>25</v>
      </c>
      <c r="C134" s="25">
        <v>35</v>
      </c>
      <c r="D134" s="25">
        <v>25</v>
      </c>
      <c r="E134" s="25">
        <v>15</v>
      </c>
      <c r="F134" s="26">
        <f>SUM(Tabela1[[#This Row],[Initial days]:[Late days]])</f>
        <v>100</v>
      </c>
      <c r="G134" s="25">
        <v>0.5</v>
      </c>
      <c r="H134" s="25">
        <v>0.95</v>
      </c>
      <c r="I134" s="25">
        <v>0.75</v>
      </c>
      <c r="J134" s="25">
        <v>0.3</v>
      </c>
      <c r="K134" s="28" t="s">
        <v>200</v>
      </c>
      <c r="M134" s="24" t="s">
        <v>201</v>
      </c>
    </row>
  </sheetData>
  <pageMargins left="0.7" right="0.7" top="0.75" bottom="0.75" header="0.3" footer="0.3"/>
  <pageSetup orientation="portrait" r:id="rId1"/>
  <ignoredErrors>
    <ignoredError sqref="J61" twoDigitTextYear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2A3F-97B8-4C3A-B3D9-DF7FC192EDCA}">
  <dimension ref="A1:T41"/>
  <sheetViews>
    <sheetView tabSelected="1" workbookViewId="0">
      <selection activeCell="Q1" sqref="Q1"/>
    </sheetView>
  </sheetViews>
  <sheetFormatPr defaultRowHeight="14.5" x14ac:dyDescent="0.35"/>
  <cols>
    <col min="1" max="1" width="29.08984375" bestFit="1" customWidth="1"/>
    <col min="14" max="14" width="17.81640625" bestFit="1" customWidth="1"/>
    <col min="15" max="15" width="23.1796875" hidden="1" customWidth="1"/>
    <col min="16" max="16" width="0" hidden="1" customWidth="1"/>
    <col min="17" max="17" width="17.90625" bestFit="1" customWidth="1"/>
    <col min="18" max="18" width="16.36328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2" t="s">
        <v>292</v>
      </c>
      <c r="H1" t="s">
        <v>6</v>
      </c>
      <c r="I1" t="s">
        <v>7</v>
      </c>
      <c r="J1" t="s">
        <v>8</v>
      </c>
      <c r="K1" s="12" t="s">
        <v>293</v>
      </c>
      <c r="L1" t="s">
        <v>9</v>
      </c>
      <c r="M1" s="12" t="s">
        <v>294</v>
      </c>
      <c r="N1" t="s">
        <v>233</v>
      </c>
      <c r="O1" s="17" t="s">
        <v>266</v>
      </c>
      <c r="P1" s="12" t="s">
        <v>295</v>
      </c>
      <c r="Q1" t="s">
        <v>234</v>
      </c>
      <c r="R1" s="17" t="s">
        <v>267</v>
      </c>
      <c r="S1" s="12" t="s">
        <v>296</v>
      </c>
      <c r="T1" t="s">
        <v>300</v>
      </c>
    </row>
    <row r="2" spans="1:20" x14ac:dyDescent="0.35">
      <c r="A2" t="s">
        <v>12</v>
      </c>
      <c r="B2">
        <v>23</v>
      </c>
      <c r="C2">
        <v>42</v>
      </c>
      <c r="D2">
        <v>47</v>
      </c>
      <c r="E2">
        <v>34</v>
      </c>
      <c r="F2">
        <f>SUM(B2:E2)</f>
        <v>146</v>
      </c>
      <c r="G2" s="12" t="s">
        <v>291</v>
      </c>
      <c r="H2">
        <v>0.25</v>
      </c>
      <c r="I2">
        <v>0.7</v>
      </c>
      <c r="J2">
        <v>0.35</v>
      </c>
      <c r="K2" s="12" t="s">
        <v>264</v>
      </c>
      <c r="L2">
        <v>1</v>
      </c>
      <c r="M2" s="12" t="s">
        <v>291</v>
      </c>
      <c r="N2" t="s">
        <v>189</v>
      </c>
      <c r="O2" t="s">
        <v>291</v>
      </c>
      <c r="P2" s="12" t="s">
        <v>291</v>
      </c>
      <c r="Q2" t="s">
        <v>193</v>
      </c>
      <c r="S2" s="12"/>
    </row>
    <row r="3" spans="1:20" ht="16" x14ac:dyDescent="0.45">
      <c r="A3" t="s">
        <v>17</v>
      </c>
      <c r="B3">
        <v>40</v>
      </c>
      <c r="C3">
        <v>40</v>
      </c>
      <c r="D3">
        <v>250</v>
      </c>
      <c r="E3">
        <v>35</v>
      </c>
      <c r="F3">
        <f>SUM(B3:E3)</f>
        <v>365</v>
      </c>
      <c r="G3" s="12" t="s">
        <v>264</v>
      </c>
      <c r="H3">
        <v>0.5</v>
      </c>
      <c r="I3">
        <v>1</v>
      </c>
      <c r="J3">
        <v>0.95</v>
      </c>
      <c r="K3" s="12" t="s">
        <v>264</v>
      </c>
      <c r="L3">
        <v>0.7</v>
      </c>
      <c r="M3" s="12" t="s">
        <v>264</v>
      </c>
      <c r="N3" s="11" t="s">
        <v>302</v>
      </c>
      <c r="O3" t="s">
        <v>249</v>
      </c>
      <c r="P3" s="12" t="s">
        <v>304</v>
      </c>
      <c r="Q3" s="11" t="s">
        <v>193</v>
      </c>
      <c r="S3" s="12"/>
      <c r="T3" t="s">
        <v>301</v>
      </c>
    </row>
    <row r="4" spans="1:20" x14ac:dyDescent="0.35">
      <c r="A4" t="s">
        <v>18</v>
      </c>
      <c r="B4">
        <v>90</v>
      </c>
      <c r="C4">
        <v>30</v>
      </c>
      <c r="D4">
        <v>200</v>
      </c>
      <c r="E4">
        <v>45</v>
      </c>
      <c r="F4">
        <f t="shared" ref="F4:F41" si="0">SUM(B4:E4)</f>
        <v>365</v>
      </c>
      <c r="G4" s="12" t="s">
        <v>264</v>
      </c>
      <c r="H4">
        <v>0.5</v>
      </c>
      <c r="I4">
        <v>0.95</v>
      </c>
      <c r="J4">
        <v>0.3</v>
      </c>
      <c r="K4" s="12" t="s">
        <v>264</v>
      </c>
      <c r="L4">
        <v>0.7</v>
      </c>
      <c r="M4" s="12" t="s">
        <v>264</v>
      </c>
      <c r="N4" t="s">
        <v>305</v>
      </c>
      <c r="O4" t="s">
        <v>311</v>
      </c>
      <c r="P4" s="12" t="s">
        <v>264</v>
      </c>
      <c r="Q4" t="s">
        <v>321</v>
      </c>
      <c r="S4" s="12"/>
    </row>
    <row r="5" spans="1:20" x14ac:dyDescent="0.35">
      <c r="A5" t="s">
        <v>24</v>
      </c>
      <c r="B5">
        <v>120</v>
      </c>
      <c r="C5">
        <v>60</v>
      </c>
      <c r="D5">
        <v>180</v>
      </c>
      <c r="E5">
        <v>5</v>
      </c>
      <c r="F5">
        <f t="shared" si="0"/>
        <v>365</v>
      </c>
      <c r="G5" s="12" t="s">
        <v>264</v>
      </c>
      <c r="H5">
        <v>1</v>
      </c>
      <c r="I5">
        <v>1.2</v>
      </c>
      <c r="J5">
        <v>1.1000000000000001</v>
      </c>
      <c r="K5" s="12" t="s">
        <v>264</v>
      </c>
      <c r="L5" s="20">
        <v>4</v>
      </c>
      <c r="M5" s="12" t="s">
        <v>264</v>
      </c>
      <c r="N5" t="s">
        <v>305</v>
      </c>
      <c r="O5" t="s">
        <v>311</v>
      </c>
      <c r="P5" s="12" t="s">
        <v>264</v>
      </c>
      <c r="Q5" t="s">
        <v>321</v>
      </c>
      <c r="S5" s="12"/>
      <c r="T5" t="s">
        <v>312</v>
      </c>
    </row>
    <row r="6" spans="1:20" x14ac:dyDescent="0.35">
      <c r="A6" t="s">
        <v>25</v>
      </c>
      <c r="B6">
        <v>15</v>
      </c>
      <c r="C6">
        <v>25</v>
      </c>
      <c r="D6">
        <v>50</v>
      </c>
      <c r="E6">
        <v>30</v>
      </c>
      <c r="F6">
        <f t="shared" si="0"/>
        <v>120</v>
      </c>
      <c r="G6" s="12" t="s">
        <v>264</v>
      </c>
      <c r="H6">
        <v>0.3</v>
      </c>
      <c r="I6">
        <v>1.1499999999999999</v>
      </c>
      <c r="J6">
        <v>0.25</v>
      </c>
      <c r="K6" s="12" t="s">
        <v>264</v>
      </c>
      <c r="L6" s="20">
        <v>1</v>
      </c>
      <c r="M6" s="12" t="s">
        <v>264</v>
      </c>
      <c r="N6" t="s">
        <v>207</v>
      </c>
      <c r="O6" t="s">
        <v>313</v>
      </c>
      <c r="P6" s="12" t="s">
        <v>264</v>
      </c>
      <c r="Q6" t="s">
        <v>206</v>
      </c>
      <c r="S6" s="12"/>
    </row>
    <row r="7" spans="1:20" x14ac:dyDescent="0.35">
      <c r="A7" t="s">
        <v>27</v>
      </c>
      <c r="B7">
        <v>15</v>
      </c>
      <c r="C7">
        <v>25</v>
      </c>
      <c r="D7">
        <v>20</v>
      </c>
      <c r="E7">
        <v>10</v>
      </c>
      <c r="F7">
        <f t="shared" si="0"/>
        <v>70</v>
      </c>
      <c r="G7" s="12" t="s">
        <v>264</v>
      </c>
      <c r="H7">
        <v>0.5</v>
      </c>
      <c r="I7">
        <v>1.05</v>
      </c>
      <c r="J7">
        <v>0.95</v>
      </c>
      <c r="K7" s="12" t="s">
        <v>264</v>
      </c>
      <c r="L7">
        <v>0.4</v>
      </c>
      <c r="M7" s="12" t="s">
        <v>264</v>
      </c>
      <c r="N7" t="s">
        <v>189</v>
      </c>
      <c r="O7" t="s">
        <v>311</v>
      </c>
      <c r="P7" s="12" t="s">
        <v>264</v>
      </c>
      <c r="Q7" t="s">
        <v>193</v>
      </c>
      <c r="S7" s="12"/>
    </row>
    <row r="8" spans="1:20" x14ac:dyDescent="0.35">
      <c r="A8" t="s">
        <v>29</v>
      </c>
      <c r="B8">
        <v>20</v>
      </c>
      <c r="C8">
        <v>30</v>
      </c>
      <c r="D8">
        <v>30</v>
      </c>
      <c r="E8">
        <v>10</v>
      </c>
      <c r="F8">
        <f t="shared" si="0"/>
        <v>90</v>
      </c>
      <c r="G8" s="12" t="s">
        <v>264</v>
      </c>
      <c r="H8">
        <v>0.5</v>
      </c>
      <c r="I8">
        <v>1.052</v>
      </c>
      <c r="J8">
        <v>0.9</v>
      </c>
      <c r="K8" s="12" t="s">
        <v>264</v>
      </c>
      <c r="L8">
        <v>0.4</v>
      </c>
      <c r="M8" s="12" t="s">
        <v>264</v>
      </c>
      <c r="N8" t="s">
        <v>232</v>
      </c>
      <c r="O8" t="s">
        <v>311</v>
      </c>
      <c r="P8" s="12" t="s">
        <v>264</v>
      </c>
      <c r="Q8" t="s">
        <v>303</v>
      </c>
      <c r="S8" s="12"/>
    </row>
    <row r="9" spans="1:20" x14ac:dyDescent="0.35">
      <c r="A9" t="s">
        <v>34</v>
      </c>
      <c r="B9">
        <v>35</v>
      </c>
      <c r="C9">
        <v>45</v>
      </c>
      <c r="D9">
        <v>40</v>
      </c>
      <c r="E9">
        <v>15</v>
      </c>
      <c r="F9">
        <f t="shared" si="0"/>
        <v>135</v>
      </c>
      <c r="G9" s="12" t="s">
        <v>264</v>
      </c>
      <c r="H9">
        <v>0.7</v>
      </c>
      <c r="I9">
        <v>1.05</v>
      </c>
      <c r="J9">
        <v>0.95</v>
      </c>
      <c r="K9" s="12" t="s">
        <v>264</v>
      </c>
      <c r="L9">
        <v>0.3</v>
      </c>
      <c r="M9" s="12" t="s">
        <v>264</v>
      </c>
      <c r="N9" t="s">
        <v>303</v>
      </c>
      <c r="O9" t="s">
        <v>183</v>
      </c>
      <c r="P9" s="12" t="s">
        <v>264</v>
      </c>
      <c r="Q9" t="s">
        <v>232</v>
      </c>
    </row>
    <row r="10" spans="1:20" x14ac:dyDescent="0.35">
      <c r="A10" t="s">
        <v>37</v>
      </c>
      <c r="B10">
        <v>40</v>
      </c>
      <c r="C10">
        <v>60</v>
      </c>
      <c r="D10">
        <v>50</v>
      </c>
      <c r="E10">
        <v>15</v>
      </c>
      <c r="F10">
        <f t="shared" si="0"/>
        <v>165</v>
      </c>
      <c r="G10" s="12" t="s">
        <v>264</v>
      </c>
      <c r="H10">
        <v>0.7</v>
      </c>
      <c r="I10">
        <v>1.05</v>
      </c>
      <c r="J10">
        <v>0.95</v>
      </c>
      <c r="K10" s="12" t="s">
        <v>264</v>
      </c>
      <c r="L10">
        <v>0.4</v>
      </c>
      <c r="M10" s="12" t="s">
        <v>264</v>
      </c>
      <c r="N10" t="s">
        <v>303</v>
      </c>
      <c r="P10" s="12" t="s">
        <v>264</v>
      </c>
      <c r="Q10" t="s">
        <v>232</v>
      </c>
    </row>
    <row r="11" spans="1:20" x14ac:dyDescent="0.35">
      <c r="A11" t="s">
        <v>45</v>
      </c>
      <c r="B11">
        <v>150</v>
      </c>
      <c r="C11">
        <v>40</v>
      </c>
      <c r="D11">
        <v>110</v>
      </c>
      <c r="E11">
        <v>60</v>
      </c>
      <c r="F11">
        <f t="shared" si="0"/>
        <v>360</v>
      </c>
      <c r="G11" s="12" t="s">
        <v>264</v>
      </c>
      <c r="H11">
        <v>0.3</v>
      </c>
      <c r="I11">
        <v>1.1000000000000001</v>
      </c>
      <c r="J11">
        <v>0.5</v>
      </c>
      <c r="K11" s="12" t="s">
        <v>264</v>
      </c>
      <c r="L11">
        <v>1.5</v>
      </c>
      <c r="M11" s="12" t="s">
        <v>264</v>
      </c>
      <c r="N11" t="s">
        <v>303</v>
      </c>
      <c r="P11" s="12" t="s">
        <v>264</v>
      </c>
      <c r="Q11" t="s">
        <v>232</v>
      </c>
    </row>
    <row r="12" spans="1:20" x14ac:dyDescent="0.35">
      <c r="A12" t="s">
        <v>46</v>
      </c>
      <c r="B12">
        <v>35</v>
      </c>
      <c r="C12">
        <v>50</v>
      </c>
      <c r="D12">
        <v>40</v>
      </c>
      <c r="E12">
        <v>15</v>
      </c>
      <c r="F12">
        <f t="shared" si="0"/>
        <v>140</v>
      </c>
      <c r="G12" s="12" t="s">
        <v>264</v>
      </c>
      <c r="H12">
        <v>0.7</v>
      </c>
      <c r="I12">
        <v>1.05</v>
      </c>
      <c r="J12">
        <v>0.95</v>
      </c>
      <c r="K12" s="12" t="s">
        <v>264</v>
      </c>
      <c r="L12">
        <v>0.4</v>
      </c>
      <c r="M12" s="12" t="s">
        <v>264</v>
      </c>
      <c r="N12" t="s">
        <v>303</v>
      </c>
      <c r="P12" s="12" t="s">
        <v>264</v>
      </c>
      <c r="Q12" t="s">
        <v>232</v>
      </c>
    </row>
    <row r="13" spans="1:20" x14ac:dyDescent="0.35">
      <c r="A13" t="s">
        <v>47</v>
      </c>
      <c r="B13">
        <v>25</v>
      </c>
      <c r="C13">
        <v>40</v>
      </c>
      <c r="D13">
        <v>95</v>
      </c>
      <c r="E13">
        <v>20</v>
      </c>
      <c r="F13">
        <f t="shared" si="0"/>
        <v>180</v>
      </c>
      <c r="H13">
        <v>0.7</v>
      </c>
      <c r="I13">
        <v>1.05</v>
      </c>
      <c r="J13">
        <v>1</v>
      </c>
      <c r="L13">
        <v>0.6</v>
      </c>
      <c r="N13" t="s">
        <v>193</v>
      </c>
      <c r="O13" t="s">
        <v>48</v>
      </c>
      <c r="Q13" t="s">
        <v>189</v>
      </c>
    </row>
    <row r="14" spans="1:20" x14ac:dyDescent="0.35">
      <c r="A14" t="s">
        <v>67</v>
      </c>
      <c r="B14">
        <v>20</v>
      </c>
      <c r="C14">
        <v>30</v>
      </c>
      <c r="D14">
        <v>40</v>
      </c>
      <c r="E14">
        <v>15</v>
      </c>
      <c r="F14">
        <f t="shared" si="0"/>
        <v>105</v>
      </c>
      <c r="H14">
        <v>0.6</v>
      </c>
      <c r="I14">
        <v>1.002</v>
      </c>
      <c r="J14">
        <v>0.75</v>
      </c>
      <c r="L14">
        <v>0.3</v>
      </c>
      <c r="N14" t="s">
        <v>321</v>
      </c>
      <c r="O14" t="s">
        <v>68</v>
      </c>
      <c r="Q14" t="s">
        <v>305</v>
      </c>
    </row>
    <row r="15" spans="1:20" x14ac:dyDescent="0.35">
      <c r="A15" t="s">
        <v>71</v>
      </c>
      <c r="B15">
        <v>30</v>
      </c>
      <c r="C15">
        <v>40</v>
      </c>
      <c r="D15">
        <v>40</v>
      </c>
      <c r="E15">
        <v>20</v>
      </c>
      <c r="F15">
        <f t="shared" si="0"/>
        <v>130</v>
      </c>
      <c r="H15">
        <v>0.6</v>
      </c>
      <c r="I15">
        <v>1.05</v>
      </c>
      <c r="J15">
        <v>0.9</v>
      </c>
      <c r="L15">
        <v>0.8</v>
      </c>
      <c r="N15" t="s">
        <v>193</v>
      </c>
      <c r="O15" t="s">
        <v>72</v>
      </c>
      <c r="Q15" t="s">
        <v>189</v>
      </c>
    </row>
    <row r="16" spans="1:20" x14ac:dyDescent="0.35">
      <c r="A16" t="s">
        <v>83</v>
      </c>
      <c r="B16">
        <v>35</v>
      </c>
      <c r="C16">
        <v>45</v>
      </c>
      <c r="D16">
        <v>35</v>
      </c>
      <c r="E16">
        <v>25</v>
      </c>
      <c r="F16">
        <f t="shared" si="0"/>
        <v>140</v>
      </c>
      <c r="H16">
        <v>0.4</v>
      </c>
      <c r="I16">
        <v>1.1499999999999999</v>
      </c>
      <c r="J16">
        <v>0.6</v>
      </c>
      <c r="L16">
        <v>0.4</v>
      </c>
      <c r="N16" t="s">
        <v>206</v>
      </c>
      <c r="O16" t="s">
        <v>20</v>
      </c>
      <c r="Q16" t="s">
        <v>207</v>
      </c>
    </row>
    <row r="17" spans="1:17" x14ac:dyDescent="0.35">
      <c r="A17" t="s">
        <v>92</v>
      </c>
      <c r="B17">
        <v>25</v>
      </c>
      <c r="C17">
        <v>35</v>
      </c>
      <c r="D17">
        <v>70</v>
      </c>
      <c r="E17">
        <v>40</v>
      </c>
      <c r="F17">
        <f t="shared" si="0"/>
        <v>170</v>
      </c>
      <c r="H17">
        <v>0.4</v>
      </c>
      <c r="I17">
        <v>1.1000000000000001</v>
      </c>
      <c r="J17">
        <v>0.3</v>
      </c>
      <c r="L17">
        <v>0.5</v>
      </c>
      <c r="N17" t="s">
        <v>207</v>
      </c>
      <c r="O17" t="s">
        <v>210</v>
      </c>
      <c r="Q17" t="s">
        <v>206</v>
      </c>
    </row>
    <row r="18" spans="1:17" x14ac:dyDescent="0.35">
      <c r="A18" t="s">
        <v>94</v>
      </c>
      <c r="B18">
        <v>20</v>
      </c>
      <c r="C18">
        <v>30</v>
      </c>
      <c r="D18">
        <v>15</v>
      </c>
      <c r="E18">
        <v>10</v>
      </c>
      <c r="F18">
        <f t="shared" si="0"/>
        <v>75</v>
      </c>
      <c r="H18">
        <v>0.7</v>
      </c>
      <c r="I18">
        <v>1</v>
      </c>
      <c r="J18">
        <v>0.95</v>
      </c>
      <c r="L18">
        <v>0.3</v>
      </c>
      <c r="N18" t="s">
        <v>207</v>
      </c>
      <c r="O18" t="s">
        <v>95</v>
      </c>
      <c r="Q18" t="s">
        <v>206</v>
      </c>
    </row>
    <row r="19" spans="1:17" x14ac:dyDescent="0.35">
      <c r="A19" t="s">
        <v>98</v>
      </c>
      <c r="B19">
        <v>25</v>
      </c>
      <c r="C19">
        <v>40</v>
      </c>
      <c r="D19">
        <v>45</v>
      </c>
      <c r="E19">
        <v>30</v>
      </c>
      <c r="F19">
        <f t="shared" si="0"/>
        <v>140</v>
      </c>
      <c r="H19">
        <v>0.3</v>
      </c>
      <c r="I19">
        <v>1.2</v>
      </c>
      <c r="J19">
        <v>0.6</v>
      </c>
      <c r="L19" s="20">
        <v>2</v>
      </c>
      <c r="N19" t="s">
        <v>322</v>
      </c>
      <c r="O19" t="s">
        <v>220</v>
      </c>
      <c r="Q19" t="s">
        <v>212</v>
      </c>
    </row>
    <row r="20" spans="1:17" x14ac:dyDescent="0.35">
      <c r="A20" t="s">
        <v>99</v>
      </c>
      <c r="B20">
        <v>20</v>
      </c>
      <c r="C20">
        <v>30</v>
      </c>
      <c r="D20">
        <v>50</v>
      </c>
      <c r="E20">
        <v>10</v>
      </c>
      <c r="F20">
        <f t="shared" si="0"/>
        <v>110</v>
      </c>
      <c r="H20">
        <v>0.3</v>
      </c>
      <c r="I20">
        <v>1.1499999999999999</v>
      </c>
      <c r="J20">
        <v>1.05</v>
      </c>
      <c r="L20">
        <v>1.5</v>
      </c>
      <c r="N20" t="s">
        <v>193</v>
      </c>
      <c r="O20" t="s">
        <v>222</v>
      </c>
      <c r="Q20" t="s">
        <v>189</v>
      </c>
    </row>
    <row r="21" spans="1:17" x14ac:dyDescent="0.35">
      <c r="A21" t="s">
        <v>101</v>
      </c>
      <c r="B21">
        <v>25</v>
      </c>
      <c r="C21">
        <v>35</v>
      </c>
      <c r="D21">
        <v>40</v>
      </c>
      <c r="E21">
        <v>20</v>
      </c>
      <c r="F21">
        <f t="shared" si="0"/>
        <v>120</v>
      </c>
      <c r="H21">
        <v>0.5</v>
      </c>
      <c r="I21">
        <v>1.05</v>
      </c>
      <c r="J21">
        <v>0.75</v>
      </c>
      <c r="L21">
        <v>0.4</v>
      </c>
      <c r="N21" t="s">
        <v>206</v>
      </c>
      <c r="O21" t="s">
        <v>20</v>
      </c>
      <c r="Q21" t="s">
        <v>207</v>
      </c>
    </row>
    <row r="22" spans="1:17" x14ac:dyDescent="0.35">
      <c r="A22" t="s">
        <v>102</v>
      </c>
      <c r="B22">
        <v>15</v>
      </c>
      <c r="C22">
        <v>25</v>
      </c>
      <c r="D22">
        <v>40</v>
      </c>
      <c r="E22">
        <v>25</v>
      </c>
      <c r="F22">
        <f t="shared" si="0"/>
        <v>105</v>
      </c>
      <c r="H22">
        <v>0.3</v>
      </c>
      <c r="I22">
        <v>1</v>
      </c>
      <c r="J22">
        <v>0.3</v>
      </c>
      <c r="L22">
        <v>1.5</v>
      </c>
      <c r="N22" t="s">
        <v>212</v>
      </c>
      <c r="O22" t="s">
        <v>103</v>
      </c>
      <c r="Q22" t="s">
        <v>322</v>
      </c>
    </row>
    <row r="23" spans="1:17" x14ac:dyDescent="0.35">
      <c r="A23" t="s">
        <v>110</v>
      </c>
      <c r="B23">
        <v>15</v>
      </c>
      <c r="C23">
        <v>25</v>
      </c>
      <c r="D23">
        <v>50</v>
      </c>
      <c r="E23">
        <v>30</v>
      </c>
      <c r="F23">
        <f t="shared" si="0"/>
        <v>120</v>
      </c>
      <c r="H23">
        <v>0.3</v>
      </c>
      <c r="I23">
        <v>1.1499999999999999</v>
      </c>
      <c r="J23">
        <v>0.25</v>
      </c>
      <c r="L23" s="20">
        <v>1</v>
      </c>
      <c r="N23" t="s">
        <v>207</v>
      </c>
      <c r="O23" t="s">
        <v>26</v>
      </c>
      <c r="Q23" t="s">
        <v>206</v>
      </c>
    </row>
    <row r="24" spans="1:17" x14ac:dyDescent="0.35">
      <c r="A24" t="s">
        <v>114</v>
      </c>
      <c r="B24">
        <v>15</v>
      </c>
      <c r="C24">
        <v>25</v>
      </c>
      <c r="D24">
        <v>70</v>
      </c>
      <c r="E24">
        <v>40</v>
      </c>
      <c r="F24">
        <f t="shared" si="0"/>
        <v>150</v>
      </c>
      <c r="H24">
        <v>0.7</v>
      </c>
      <c r="I24">
        <v>1.05</v>
      </c>
      <c r="J24">
        <v>0.75</v>
      </c>
      <c r="L24">
        <v>0.4</v>
      </c>
      <c r="N24" t="s">
        <v>189</v>
      </c>
      <c r="O24" t="s">
        <v>20</v>
      </c>
      <c r="Q24" t="s">
        <v>193</v>
      </c>
    </row>
    <row r="25" spans="1:17" x14ac:dyDescent="0.35">
      <c r="A25" t="s">
        <v>115</v>
      </c>
      <c r="B25">
        <v>25</v>
      </c>
      <c r="C25">
        <v>30</v>
      </c>
      <c r="D25">
        <v>10</v>
      </c>
      <c r="E25">
        <v>5</v>
      </c>
      <c r="F25">
        <f t="shared" si="0"/>
        <v>70</v>
      </c>
      <c r="H25">
        <v>0.7</v>
      </c>
      <c r="I25">
        <v>1</v>
      </c>
      <c r="J25">
        <v>1</v>
      </c>
      <c r="L25">
        <v>0.3</v>
      </c>
      <c r="N25" t="s">
        <v>189</v>
      </c>
      <c r="O25" t="s">
        <v>20</v>
      </c>
      <c r="Q25" t="s">
        <v>193</v>
      </c>
    </row>
    <row r="26" spans="1:17" x14ac:dyDescent="0.35">
      <c r="A26" t="s">
        <v>120</v>
      </c>
      <c r="B26">
        <v>15</v>
      </c>
      <c r="C26">
        <v>25</v>
      </c>
      <c r="D26">
        <v>35</v>
      </c>
      <c r="E26">
        <v>15</v>
      </c>
      <c r="F26">
        <f t="shared" si="0"/>
        <v>90</v>
      </c>
      <c r="H26">
        <v>0.5</v>
      </c>
      <c r="I26">
        <v>1.1499999999999999</v>
      </c>
      <c r="J26">
        <v>0.3</v>
      </c>
      <c r="L26">
        <v>0.5</v>
      </c>
      <c r="N26" t="s">
        <v>206</v>
      </c>
      <c r="O26" t="s">
        <v>93</v>
      </c>
      <c r="Q26" t="s">
        <v>207</v>
      </c>
    </row>
    <row r="27" spans="1:17" x14ac:dyDescent="0.35">
      <c r="A27" t="s">
        <v>130</v>
      </c>
      <c r="B27">
        <v>25</v>
      </c>
      <c r="C27">
        <v>30</v>
      </c>
      <c r="D27">
        <v>45</v>
      </c>
      <c r="E27">
        <v>30</v>
      </c>
      <c r="F27">
        <f t="shared" si="0"/>
        <v>130</v>
      </c>
      <c r="H27">
        <v>0.5</v>
      </c>
      <c r="I27">
        <v>1.1499999999999999</v>
      </c>
      <c r="J27">
        <v>0.7</v>
      </c>
      <c r="L27">
        <v>0.6</v>
      </c>
      <c r="N27" t="s">
        <v>206</v>
      </c>
      <c r="O27" t="s">
        <v>131</v>
      </c>
      <c r="Q27" t="s">
        <v>207</v>
      </c>
    </row>
    <row r="28" spans="1:17" x14ac:dyDescent="0.35">
      <c r="A28" t="s">
        <v>133</v>
      </c>
      <c r="B28">
        <v>20</v>
      </c>
      <c r="C28">
        <v>30</v>
      </c>
      <c r="D28">
        <v>30</v>
      </c>
      <c r="E28">
        <v>20</v>
      </c>
      <c r="F28">
        <f t="shared" si="0"/>
        <v>100</v>
      </c>
      <c r="H28">
        <v>0.5</v>
      </c>
      <c r="I28">
        <v>1</v>
      </c>
      <c r="J28">
        <v>0.8</v>
      </c>
      <c r="L28">
        <v>0.4</v>
      </c>
      <c r="N28" t="s">
        <v>232</v>
      </c>
      <c r="O28" t="s">
        <v>199</v>
      </c>
      <c r="Q28" t="s">
        <v>303</v>
      </c>
    </row>
    <row r="29" spans="1:17" x14ac:dyDescent="0.35">
      <c r="A29" t="s">
        <v>135</v>
      </c>
      <c r="B29">
        <v>5</v>
      </c>
      <c r="C29">
        <v>10</v>
      </c>
      <c r="D29">
        <v>15</v>
      </c>
      <c r="E29">
        <v>5</v>
      </c>
      <c r="F29">
        <f t="shared" si="0"/>
        <v>35</v>
      </c>
      <c r="H29">
        <v>0.7</v>
      </c>
      <c r="I29">
        <v>0.9</v>
      </c>
      <c r="J29">
        <v>0.85</v>
      </c>
      <c r="L29">
        <v>0.3</v>
      </c>
      <c r="N29" t="s">
        <v>232</v>
      </c>
      <c r="O29" t="s">
        <v>136</v>
      </c>
      <c r="Q29" t="s">
        <v>303</v>
      </c>
    </row>
    <row r="30" spans="1:17" x14ac:dyDescent="0.35">
      <c r="A30" t="s">
        <v>139</v>
      </c>
      <c r="B30">
        <v>30</v>
      </c>
      <c r="C30">
        <v>30</v>
      </c>
      <c r="D30">
        <v>80</v>
      </c>
      <c r="E30">
        <v>40</v>
      </c>
      <c r="F30">
        <f t="shared" si="0"/>
        <v>180</v>
      </c>
      <c r="H30">
        <v>1.05</v>
      </c>
      <c r="I30">
        <v>1.2</v>
      </c>
      <c r="J30">
        <v>0.9</v>
      </c>
      <c r="L30">
        <v>1</v>
      </c>
      <c r="N30" t="s">
        <v>206</v>
      </c>
      <c r="O30" t="s">
        <v>141</v>
      </c>
      <c r="Q30" t="s">
        <v>207</v>
      </c>
    </row>
    <row r="31" spans="1:17" x14ac:dyDescent="0.35">
      <c r="A31" t="s">
        <v>144</v>
      </c>
      <c r="B31">
        <v>20</v>
      </c>
      <c r="C31">
        <v>30</v>
      </c>
      <c r="D31">
        <v>40</v>
      </c>
      <c r="E31">
        <v>20</v>
      </c>
      <c r="F31">
        <f t="shared" si="0"/>
        <v>110</v>
      </c>
      <c r="H31">
        <v>0.35</v>
      </c>
      <c r="I31">
        <v>1.1000000000000001</v>
      </c>
      <c r="J31">
        <v>0.25</v>
      </c>
      <c r="L31">
        <v>1</v>
      </c>
      <c r="N31" t="s">
        <v>212</v>
      </c>
      <c r="O31" t="s">
        <v>145</v>
      </c>
      <c r="Q31" t="s">
        <v>322</v>
      </c>
    </row>
    <row r="32" spans="1:17" x14ac:dyDescent="0.35">
      <c r="A32" t="s">
        <v>146</v>
      </c>
      <c r="B32">
        <v>20</v>
      </c>
      <c r="C32">
        <v>35</v>
      </c>
      <c r="D32">
        <v>45</v>
      </c>
      <c r="E32">
        <v>30</v>
      </c>
      <c r="F32">
        <f t="shared" si="0"/>
        <v>130</v>
      </c>
      <c r="H32">
        <v>0.3</v>
      </c>
      <c r="I32">
        <v>1</v>
      </c>
      <c r="J32">
        <v>0.55000000000000004</v>
      </c>
      <c r="L32" s="20" t="s">
        <v>177</v>
      </c>
      <c r="N32" t="s">
        <v>232</v>
      </c>
      <c r="O32" t="s">
        <v>72</v>
      </c>
      <c r="Q32" t="s">
        <v>303</v>
      </c>
    </row>
    <row r="33" spans="1:17" x14ac:dyDescent="0.35">
      <c r="A33" t="s">
        <v>148</v>
      </c>
      <c r="B33">
        <v>20</v>
      </c>
      <c r="C33">
        <v>25</v>
      </c>
      <c r="D33">
        <v>75</v>
      </c>
      <c r="E33">
        <v>30</v>
      </c>
      <c r="F33">
        <f t="shared" si="0"/>
        <v>150</v>
      </c>
      <c r="H33">
        <v>0.5</v>
      </c>
      <c r="I33">
        <v>1.1499999999999999</v>
      </c>
      <c r="J33">
        <v>0.5</v>
      </c>
      <c r="L33" s="20" t="s">
        <v>149</v>
      </c>
      <c r="N33" t="s">
        <v>212</v>
      </c>
      <c r="O33" t="s">
        <v>150</v>
      </c>
      <c r="Q33" t="s">
        <v>322</v>
      </c>
    </row>
    <row r="34" spans="1:17" x14ac:dyDescent="0.35">
      <c r="A34" t="s">
        <v>151</v>
      </c>
      <c r="B34">
        <v>20</v>
      </c>
      <c r="C34">
        <v>20</v>
      </c>
      <c r="D34">
        <v>25</v>
      </c>
      <c r="E34">
        <v>5</v>
      </c>
      <c r="F34">
        <f t="shared" si="0"/>
        <v>70</v>
      </c>
      <c r="H34">
        <v>0.7</v>
      </c>
      <c r="I34">
        <v>1</v>
      </c>
      <c r="J34">
        <v>0.95</v>
      </c>
      <c r="L34">
        <v>0.3</v>
      </c>
      <c r="N34" t="s">
        <v>189</v>
      </c>
      <c r="O34" t="s">
        <v>20</v>
      </c>
      <c r="Q34" t="s">
        <v>193</v>
      </c>
    </row>
    <row r="35" spans="1:17" x14ac:dyDescent="0.35">
      <c r="A35" t="s">
        <v>156</v>
      </c>
      <c r="B35">
        <v>25</v>
      </c>
      <c r="C35">
        <v>35</v>
      </c>
      <c r="D35">
        <v>45</v>
      </c>
      <c r="E35">
        <v>25</v>
      </c>
      <c r="F35">
        <f t="shared" si="0"/>
        <v>130</v>
      </c>
      <c r="H35">
        <v>0.35</v>
      </c>
      <c r="I35">
        <v>1</v>
      </c>
      <c r="J35">
        <v>0.35</v>
      </c>
      <c r="L35">
        <v>2</v>
      </c>
      <c r="N35" t="s">
        <v>189</v>
      </c>
      <c r="O35" t="s">
        <v>218</v>
      </c>
      <c r="Q35" t="s">
        <v>193</v>
      </c>
    </row>
    <row r="36" spans="1:17" x14ac:dyDescent="0.35">
      <c r="A36" t="s">
        <v>157</v>
      </c>
      <c r="B36">
        <v>30</v>
      </c>
      <c r="C36">
        <v>35</v>
      </c>
      <c r="D36">
        <v>40</v>
      </c>
      <c r="E36">
        <v>20</v>
      </c>
      <c r="F36">
        <f t="shared" si="0"/>
        <v>125</v>
      </c>
      <c r="H36">
        <v>0.6</v>
      </c>
      <c r="I36">
        <v>1</v>
      </c>
      <c r="J36">
        <v>0.9</v>
      </c>
      <c r="L36">
        <v>0.7</v>
      </c>
      <c r="N36" t="s">
        <v>189</v>
      </c>
      <c r="O36" t="s">
        <v>195</v>
      </c>
      <c r="Q36" t="s">
        <v>193</v>
      </c>
    </row>
    <row r="37" spans="1:17" x14ac:dyDescent="0.35">
      <c r="A37" t="s">
        <v>158</v>
      </c>
      <c r="B37">
        <v>20</v>
      </c>
      <c r="C37">
        <v>30</v>
      </c>
      <c r="D37">
        <v>60</v>
      </c>
      <c r="E37">
        <v>40</v>
      </c>
      <c r="F37">
        <f t="shared" si="0"/>
        <v>150</v>
      </c>
      <c r="H37">
        <v>0.5</v>
      </c>
      <c r="I37">
        <v>1.1499999999999999</v>
      </c>
      <c r="J37">
        <v>0.65</v>
      </c>
      <c r="L37">
        <v>0.4</v>
      </c>
      <c r="N37" t="s">
        <v>189</v>
      </c>
      <c r="O37" t="s">
        <v>20</v>
      </c>
      <c r="Q37" t="s">
        <v>193</v>
      </c>
    </row>
    <row r="38" spans="1:17" x14ac:dyDescent="0.35">
      <c r="A38" t="s">
        <v>163</v>
      </c>
      <c r="B38">
        <v>30</v>
      </c>
      <c r="C38">
        <v>40</v>
      </c>
      <c r="D38">
        <v>45</v>
      </c>
      <c r="E38">
        <v>30</v>
      </c>
      <c r="F38">
        <f t="shared" si="0"/>
        <v>145</v>
      </c>
      <c r="G38" s="12" t="s">
        <v>264</v>
      </c>
      <c r="H38">
        <v>0.6</v>
      </c>
      <c r="I38">
        <v>1.1499999999999999</v>
      </c>
      <c r="J38">
        <v>0.8</v>
      </c>
      <c r="K38" s="12" t="s">
        <v>264</v>
      </c>
      <c r="L38">
        <v>0.6</v>
      </c>
      <c r="M38" s="12" t="s">
        <v>264</v>
      </c>
      <c r="N38" t="s">
        <v>189</v>
      </c>
      <c r="O38" t="s">
        <v>20</v>
      </c>
      <c r="P38" s="12" t="s">
        <v>264</v>
      </c>
      <c r="Q38" t="s">
        <v>193</v>
      </c>
    </row>
    <row r="39" spans="1:17" x14ac:dyDescent="0.35">
      <c r="A39" t="s">
        <v>171</v>
      </c>
      <c r="B39">
        <v>20</v>
      </c>
      <c r="C39">
        <v>30</v>
      </c>
      <c r="D39">
        <v>30</v>
      </c>
      <c r="E39">
        <v>30</v>
      </c>
      <c r="F39">
        <f t="shared" si="0"/>
        <v>110</v>
      </c>
      <c r="H39">
        <v>0.4</v>
      </c>
      <c r="I39">
        <v>1</v>
      </c>
      <c r="J39">
        <v>0.75</v>
      </c>
      <c r="L39">
        <v>0.4</v>
      </c>
      <c r="N39" t="s">
        <v>189</v>
      </c>
      <c r="O39" t="s">
        <v>172</v>
      </c>
      <c r="Q39" t="s">
        <v>193</v>
      </c>
    </row>
    <row r="40" spans="1:17" x14ac:dyDescent="0.35">
      <c r="A40" t="s">
        <v>173</v>
      </c>
      <c r="B40">
        <v>15</v>
      </c>
      <c r="C40">
        <v>25</v>
      </c>
      <c r="D40">
        <v>50</v>
      </c>
      <c r="E40">
        <v>30</v>
      </c>
      <c r="F40">
        <f t="shared" si="0"/>
        <v>120</v>
      </c>
      <c r="H40">
        <v>0.3</v>
      </c>
      <c r="I40">
        <v>1.1499999999999999</v>
      </c>
      <c r="J40">
        <v>0.32500000000000001</v>
      </c>
      <c r="L40" s="20">
        <v>1</v>
      </c>
      <c r="N40" t="s">
        <v>207</v>
      </c>
      <c r="O40" t="s">
        <v>26</v>
      </c>
      <c r="Q40" t="s">
        <v>206</v>
      </c>
    </row>
    <row r="41" spans="1:17" x14ac:dyDescent="0.35">
      <c r="A41" t="s">
        <v>175</v>
      </c>
      <c r="B41">
        <v>25</v>
      </c>
      <c r="C41">
        <v>35</v>
      </c>
      <c r="D41">
        <v>25</v>
      </c>
      <c r="E41">
        <v>15</v>
      </c>
      <c r="F41">
        <f t="shared" si="0"/>
        <v>100</v>
      </c>
      <c r="H41">
        <v>0.5</v>
      </c>
      <c r="I41">
        <v>0.95</v>
      </c>
      <c r="J41">
        <v>0.75</v>
      </c>
      <c r="L41">
        <v>0.3</v>
      </c>
      <c r="N41" t="s">
        <v>189</v>
      </c>
      <c r="O41" t="s">
        <v>201</v>
      </c>
      <c r="Q41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A269-68A9-49AD-B52C-2F02BB9CA643}">
  <dimension ref="A1:G19"/>
  <sheetViews>
    <sheetView workbookViewId="0">
      <selection activeCell="A3" sqref="A3:A19"/>
    </sheetView>
  </sheetViews>
  <sheetFormatPr defaultRowHeight="14.5" x14ac:dyDescent="0.35"/>
  <cols>
    <col min="1" max="1" width="11.453125" customWidth="1"/>
    <col min="2" max="2" width="82.81640625" customWidth="1"/>
    <col min="3" max="3" width="22.08984375" customWidth="1"/>
    <col min="4" max="4" width="22.6328125" customWidth="1"/>
    <col min="5" max="5" width="71.1796875" customWidth="1"/>
    <col min="6" max="6" width="22" customWidth="1"/>
    <col min="7" max="7" width="22.81640625" customWidth="1"/>
    <col min="8" max="8" width="10.08984375" customWidth="1"/>
  </cols>
  <sheetData>
    <row r="1" spans="1:7" s="21" customFormat="1" ht="15.65" customHeight="1" x14ac:dyDescent="0.45">
      <c r="A1" s="21" t="s">
        <v>326</v>
      </c>
      <c r="B1" s="22" t="s">
        <v>241</v>
      </c>
      <c r="C1" s="22" t="s">
        <v>247</v>
      </c>
      <c r="D1" s="23" t="s">
        <v>245</v>
      </c>
      <c r="E1" s="22" t="s">
        <v>243</v>
      </c>
      <c r="F1" s="22" t="s">
        <v>246</v>
      </c>
      <c r="G1" s="23" t="s">
        <v>244</v>
      </c>
    </row>
    <row r="2" spans="1:7" ht="16" x14ac:dyDescent="0.45">
      <c r="B2" s="11" t="s">
        <v>242</v>
      </c>
      <c r="D2" s="19"/>
      <c r="E2" s="11" t="s">
        <v>242</v>
      </c>
      <c r="F2" s="11"/>
      <c r="G2" s="19"/>
    </row>
    <row r="3" spans="1:7" ht="16" x14ac:dyDescent="0.45">
      <c r="A3" t="s">
        <v>248</v>
      </c>
      <c r="B3" s="11" t="s">
        <v>250</v>
      </c>
      <c r="C3" s="11" t="s">
        <v>249</v>
      </c>
      <c r="D3" s="19" t="s">
        <v>251</v>
      </c>
      <c r="E3" s="11" t="s">
        <v>230</v>
      </c>
      <c r="F3" s="11" t="s">
        <v>230</v>
      </c>
      <c r="G3" s="19" t="s">
        <v>230</v>
      </c>
    </row>
    <row r="4" spans="1:7" ht="16" x14ac:dyDescent="0.45">
      <c r="A4" t="s">
        <v>13</v>
      </c>
      <c r="B4" t="s">
        <v>255</v>
      </c>
      <c r="C4" t="s">
        <v>253</v>
      </c>
      <c r="D4" s="19" t="s">
        <v>254</v>
      </c>
      <c r="E4" s="19" t="s">
        <v>256</v>
      </c>
      <c r="F4" t="s">
        <v>258</v>
      </c>
      <c r="G4" s="19" t="s">
        <v>257</v>
      </c>
    </row>
    <row r="5" spans="1:7" ht="16" x14ac:dyDescent="0.45">
      <c r="A5" t="s">
        <v>15</v>
      </c>
      <c r="B5" s="11" t="s">
        <v>259</v>
      </c>
      <c r="C5" t="s">
        <v>260</v>
      </c>
      <c r="D5" s="19" t="s">
        <v>261</v>
      </c>
      <c r="E5" s="11" t="s">
        <v>230</v>
      </c>
      <c r="F5" s="11" t="s">
        <v>230</v>
      </c>
      <c r="G5" s="19" t="s">
        <v>230</v>
      </c>
    </row>
    <row r="6" spans="1:7" ht="16" x14ac:dyDescent="0.45">
      <c r="A6" s="10" t="s">
        <v>16</v>
      </c>
      <c r="B6" s="11" t="s">
        <v>297</v>
      </c>
      <c r="C6" t="s">
        <v>299</v>
      </c>
      <c r="D6" s="12" t="s">
        <v>298</v>
      </c>
      <c r="E6" s="11" t="s">
        <v>230</v>
      </c>
      <c r="F6" s="11" t="s">
        <v>230</v>
      </c>
      <c r="G6" s="19" t="s">
        <v>230</v>
      </c>
    </row>
    <row r="7" spans="1:7" x14ac:dyDescent="0.35">
      <c r="A7" t="s">
        <v>21</v>
      </c>
      <c r="B7" t="s">
        <v>306</v>
      </c>
      <c r="C7" t="s">
        <v>249</v>
      </c>
      <c r="D7" s="12" t="s">
        <v>309</v>
      </c>
      <c r="E7" t="s">
        <v>307</v>
      </c>
      <c r="F7" t="s">
        <v>308</v>
      </c>
      <c r="G7" s="12" t="s">
        <v>310</v>
      </c>
    </row>
    <row r="8" spans="1:7" ht="16" x14ac:dyDescent="0.45">
      <c r="A8" s="10" t="s">
        <v>323</v>
      </c>
      <c r="B8" s="11" t="s">
        <v>324</v>
      </c>
      <c r="C8" t="s">
        <v>325</v>
      </c>
      <c r="G8" s="11"/>
    </row>
    <row r="9" spans="1:7" ht="16" x14ac:dyDescent="0.45">
      <c r="A9" t="s">
        <v>117</v>
      </c>
      <c r="B9" s="11" t="s">
        <v>327</v>
      </c>
      <c r="C9" t="s">
        <v>325</v>
      </c>
    </row>
    <row r="10" spans="1:7" x14ac:dyDescent="0.35">
      <c r="A10" t="s">
        <v>314</v>
      </c>
      <c r="B10" t="s">
        <v>329</v>
      </c>
      <c r="C10" t="s">
        <v>328</v>
      </c>
      <c r="D10" s="12" t="s">
        <v>264</v>
      </c>
    </row>
    <row r="11" spans="1:7" x14ac:dyDescent="0.35">
      <c r="A11" t="s">
        <v>38</v>
      </c>
      <c r="B11" t="s">
        <v>331</v>
      </c>
      <c r="C11" t="s">
        <v>328</v>
      </c>
      <c r="D11" s="12" t="s">
        <v>264</v>
      </c>
    </row>
    <row r="12" spans="1:7" x14ac:dyDescent="0.35">
      <c r="A12" t="s">
        <v>51</v>
      </c>
      <c r="B12" t="s">
        <v>332</v>
      </c>
      <c r="C12" t="s">
        <v>328</v>
      </c>
      <c r="D12" s="12" t="s">
        <v>264</v>
      </c>
    </row>
    <row r="13" spans="1:7" x14ac:dyDescent="0.35">
      <c r="A13" t="s">
        <v>53</v>
      </c>
      <c r="B13" t="s">
        <v>333</v>
      </c>
      <c r="C13" t="s">
        <v>328</v>
      </c>
      <c r="D13" s="12" t="s">
        <v>264</v>
      </c>
    </row>
    <row r="14" spans="1:7" x14ac:dyDescent="0.35">
      <c r="A14" t="s">
        <v>70</v>
      </c>
      <c r="B14" t="s">
        <v>330</v>
      </c>
      <c r="C14" t="s">
        <v>328</v>
      </c>
      <c r="D14" s="12" t="s">
        <v>264</v>
      </c>
    </row>
    <row r="15" spans="1:7" x14ac:dyDescent="0.35">
      <c r="A15" t="s">
        <v>77</v>
      </c>
      <c r="B15" t="s">
        <v>334</v>
      </c>
      <c r="C15" t="s">
        <v>328</v>
      </c>
      <c r="D15" s="12" t="s">
        <v>264</v>
      </c>
    </row>
    <row r="16" spans="1:7" x14ac:dyDescent="0.35">
      <c r="A16" t="s">
        <v>89</v>
      </c>
      <c r="B16" t="s">
        <v>331</v>
      </c>
      <c r="C16" t="s">
        <v>328</v>
      </c>
      <c r="D16" s="12" t="s">
        <v>264</v>
      </c>
    </row>
    <row r="17" spans="1:4" x14ac:dyDescent="0.35">
      <c r="A17" t="s">
        <v>118</v>
      </c>
      <c r="B17" t="s">
        <v>335</v>
      </c>
      <c r="C17" t="s">
        <v>328</v>
      </c>
      <c r="D17" s="12" t="s">
        <v>264</v>
      </c>
    </row>
    <row r="18" spans="1:4" x14ac:dyDescent="0.35">
      <c r="A18" t="s">
        <v>119</v>
      </c>
      <c r="B18" t="s">
        <v>332</v>
      </c>
      <c r="C18" t="s">
        <v>328</v>
      </c>
      <c r="D18" s="12" t="s">
        <v>264</v>
      </c>
    </row>
    <row r="19" spans="1:4" x14ac:dyDescent="0.35">
      <c r="A19" t="s">
        <v>152</v>
      </c>
      <c r="B19" t="s">
        <v>332</v>
      </c>
      <c r="C19" t="s">
        <v>328</v>
      </c>
      <c r="D19" s="12" t="s">
        <v>264</v>
      </c>
    </row>
  </sheetData>
  <autoFilter ref="A1:G1" xr:uid="{82EDA269-68A9-49AD-B52C-2F02BB9CA643}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100E-BC8D-463A-AD75-71190F0C7168}">
  <dimension ref="A1:B47"/>
  <sheetViews>
    <sheetView workbookViewId="0">
      <selection activeCell="E19" sqref="E19"/>
    </sheetView>
  </sheetViews>
  <sheetFormatPr defaultRowHeight="14.5" x14ac:dyDescent="0.35"/>
  <sheetData>
    <row r="1" spans="1:2" x14ac:dyDescent="0.35">
      <c r="A1" s="8" t="s">
        <v>316</v>
      </c>
      <c r="B1" t="s">
        <v>317</v>
      </c>
    </row>
    <row r="2" spans="1:2" x14ac:dyDescent="0.35">
      <c r="A2" s="10" t="s">
        <v>34</v>
      </c>
    </row>
    <row r="3" spans="1:2" x14ac:dyDescent="0.35">
      <c r="A3" s="9" t="s">
        <v>37</v>
      </c>
    </row>
    <row r="4" spans="1:2" x14ac:dyDescent="0.35">
      <c r="A4" s="9" t="s">
        <v>41</v>
      </c>
    </row>
    <row r="5" spans="1:2" x14ac:dyDescent="0.35">
      <c r="A5" s="10" t="s">
        <v>45</v>
      </c>
    </row>
    <row r="6" spans="1:2" x14ac:dyDescent="0.35">
      <c r="A6" s="9" t="s">
        <v>46</v>
      </c>
    </row>
    <row r="7" spans="1:2" x14ac:dyDescent="0.35">
      <c r="A7" s="10" t="s">
        <v>47</v>
      </c>
    </row>
    <row r="8" spans="1:2" x14ac:dyDescent="0.35">
      <c r="B8" s="9" t="s">
        <v>57</v>
      </c>
    </row>
    <row r="9" spans="1:2" x14ac:dyDescent="0.35">
      <c r="B9" s="9" t="s">
        <v>62</v>
      </c>
    </row>
    <row r="10" spans="1:2" x14ac:dyDescent="0.35">
      <c r="A10" s="9" t="s">
        <v>67</v>
      </c>
    </row>
    <row r="11" spans="1:2" x14ac:dyDescent="0.35">
      <c r="A11" s="10" t="s">
        <v>71</v>
      </c>
    </row>
    <row r="12" spans="1:2" x14ac:dyDescent="0.35">
      <c r="B12" s="9" t="s">
        <v>75</v>
      </c>
    </row>
    <row r="13" spans="1:2" x14ac:dyDescent="0.35">
      <c r="A13" s="10" t="s">
        <v>79</v>
      </c>
    </row>
    <row r="14" spans="1:2" x14ac:dyDescent="0.35">
      <c r="B14" s="10" t="s">
        <v>81</v>
      </c>
    </row>
    <row r="15" spans="1:2" x14ac:dyDescent="0.35">
      <c r="A15" s="9" t="s">
        <v>83</v>
      </c>
    </row>
    <row r="16" spans="1:2" x14ac:dyDescent="0.35">
      <c r="B16" s="10" t="s">
        <v>86</v>
      </c>
    </row>
    <row r="17" spans="1:2" x14ac:dyDescent="0.35">
      <c r="A17" s="9" t="s">
        <v>92</v>
      </c>
    </row>
    <row r="18" spans="1:2" x14ac:dyDescent="0.35">
      <c r="A18" s="10" t="s">
        <v>94</v>
      </c>
    </row>
    <row r="19" spans="1:2" x14ac:dyDescent="0.35">
      <c r="A19" s="9" t="s">
        <v>98</v>
      </c>
    </row>
    <row r="20" spans="1:2" x14ac:dyDescent="0.35">
      <c r="A20" s="10" t="s">
        <v>99</v>
      </c>
    </row>
    <row r="21" spans="1:2" x14ac:dyDescent="0.35">
      <c r="A21" s="10" t="s">
        <v>101</v>
      </c>
    </row>
    <row r="22" spans="1:2" x14ac:dyDescent="0.35">
      <c r="A22" s="9" t="s">
        <v>102</v>
      </c>
    </row>
    <row r="23" spans="1:2" x14ac:dyDescent="0.35">
      <c r="A23" s="9" t="s">
        <v>110</v>
      </c>
    </row>
    <row r="24" spans="1:2" x14ac:dyDescent="0.35">
      <c r="B24" s="9" t="s">
        <v>112</v>
      </c>
    </row>
    <row r="25" spans="1:2" x14ac:dyDescent="0.35">
      <c r="A25" s="10" t="s">
        <v>114</v>
      </c>
    </row>
    <row r="26" spans="1:2" x14ac:dyDescent="0.35">
      <c r="A26" s="9" t="s">
        <v>115</v>
      </c>
    </row>
    <row r="27" spans="1:2" x14ac:dyDescent="0.35">
      <c r="A27" s="10" t="s">
        <v>120</v>
      </c>
    </row>
    <row r="28" spans="1:2" x14ac:dyDescent="0.35">
      <c r="B28" s="9" t="s">
        <v>123</v>
      </c>
    </row>
    <row r="29" spans="1:2" x14ac:dyDescent="0.35">
      <c r="B29" s="10" t="s">
        <v>126</v>
      </c>
    </row>
    <row r="30" spans="1:2" x14ac:dyDescent="0.35">
      <c r="A30" s="10" t="s">
        <v>130</v>
      </c>
    </row>
    <row r="31" spans="1:2" x14ac:dyDescent="0.35">
      <c r="A31" s="10" t="s">
        <v>133</v>
      </c>
    </row>
    <row r="32" spans="1:2" x14ac:dyDescent="0.35">
      <c r="A32" s="10" t="s">
        <v>135</v>
      </c>
    </row>
    <row r="33" spans="1:2" x14ac:dyDescent="0.35">
      <c r="A33" s="9" t="s">
        <v>139</v>
      </c>
    </row>
    <row r="34" spans="1:2" x14ac:dyDescent="0.35">
      <c r="A34" s="10" t="s">
        <v>144</v>
      </c>
    </row>
    <row r="35" spans="1:2" x14ac:dyDescent="0.35">
      <c r="A35" s="9" t="s">
        <v>146</v>
      </c>
    </row>
    <row r="36" spans="1:2" x14ac:dyDescent="0.35">
      <c r="A36" s="10" t="s">
        <v>148</v>
      </c>
    </row>
    <row r="37" spans="1:2" x14ac:dyDescent="0.35">
      <c r="A37" s="9" t="s">
        <v>151</v>
      </c>
    </row>
    <row r="38" spans="1:2" x14ac:dyDescent="0.35">
      <c r="B38" s="9" t="s">
        <v>153</v>
      </c>
    </row>
    <row r="39" spans="1:2" x14ac:dyDescent="0.35">
      <c r="B39" s="10" t="s">
        <v>154</v>
      </c>
    </row>
    <row r="40" spans="1:2" x14ac:dyDescent="0.35">
      <c r="A40" s="9" t="s">
        <v>156</v>
      </c>
    </row>
    <row r="41" spans="1:2" x14ac:dyDescent="0.35">
      <c r="A41" s="10" t="s">
        <v>157</v>
      </c>
    </row>
    <row r="42" spans="1:2" x14ac:dyDescent="0.35">
      <c r="A42" s="9" t="s">
        <v>158</v>
      </c>
    </row>
    <row r="43" spans="1:2" x14ac:dyDescent="0.35">
      <c r="A43" s="10" t="s">
        <v>163</v>
      </c>
    </row>
    <row r="44" spans="1:2" x14ac:dyDescent="0.35">
      <c r="B44" s="9" t="s">
        <v>169</v>
      </c>
    </row>
    <row r="45" spans="1:2" x14ac:dyDescent="0.35">
      <c r="A45" s="10" t="s">
        <v>171</v>
      </c>
    </row>
    <row r="46" spans="1:2" x14ac:dyDescent="0.35">
      <c r="A46" s="9" t="s">
        <v>173</v>
      </c>
    </row>
    <row r="47" spans="1:2" x14ac:dyDescent="0.35">
      <c r="A47" s="9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17DE-59CB-471A-8B41-8391971777AE}">
  <dimension ref="A1:S6"/>
  <sheetViews>
    <sheetView workbookViewId="0">
      <selection activeCell="A6" sqref="A6"/>
    </sheetView>
  </sheetViews>
  <sheetFormatPr defaultRowHeight="14.5" x14ac:dyDescent="0.35"/>
  <cols>
    <col min="2" max="2" width="10.1796875" bestFit="1" customWidth="1"/>
    <col min="3" max="3" width="17.1796875" customWidth="1"/>
    <col min="4" max="4" width="11.36328125" bestFit="1" customWidth="1"/>
    <col min="6" max="7" width="9.6328125" customWidth="1"/>
    <col min="8" max="8" width="7.36328125" customWidth="1"/>
    <col min="10" max="11" width="7.08984375" customWidth="1"/>
    <col min="12" max="13" width="12.81640625" customWidth="1"/>
    <col min="14" max="15" width="17.453125" customWidth="1"/>
    <col min="16" max="16" width="14" customWidth="1"/>
    <col min="17" max="18" width="16.6328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2" t="s">
        <v>237</v>
      </c>
      <c r="H1" t="s">
        <v>6</v>
      </c>
      <c r="I1" t="s">
        <v>7</v>
      </c>
      <c r="J1" t="s">
        <v>8</v>
      </c>
      <c r="K1" s="12" t="s">
        <v>238</v>
      </c>
      <c r="L1" t="s">
        <v>9</v>
      </c>
      <c r="M1" s="12" t="s">
        <v>252</v>
      </c>
      <c r="N1" t="s">
        <v>233</v>
      </c>
      <c r="O1" s="17" t="s">
        <v>266</v>
      </c>
      <c r="P1" s="12" t="s">
        <v>235</v>
      </c>
      <c r="Q1" t="s">
        <v>234</v>
      </c>
      <c r="R1" s="17" t="s">
        <v>267</v>
      </c>
      <c r="S1" s="12" t="s">
        <v>236</v>
      </c>
    </row>
    <row r="2" spans="1:19" x14ac:dyDescent="0.35">
      <c r="A2" t="s">
        <v>262</v>
      </c>
      <c r="B2">
        <v>15</v>
      </c>
      <c r="C2">
        <v>30</v>
      </c>
      <c r="D2">
        <v>50</v>
      </c>
      <c r="E2">
        <v>40</v>
      </c>
      <c r="F2">
        <f>SUM(B2:E2)</f>
        <v>135</v>
      </c>
      <c r="G2" s="16" t="s">
        <v>263</v>
      </c>
      <c r="H2">
        <v>0.25</v>
      </c>
      <c r="I2">
        <v>0.7</v>
      </c>
      <c r="J2">
        <v>0.35</v>
      </c>
      <c r="K2" s="16" t="s">
        <v>264</v>
      </c>
      <c r="L2">
        <v>0.8</v>
      </c>
      <c r="M2" s="16" t="s">
        <v>265</v>
      </c>
      <c r="N2" t="s">
        <v>278</v>
      </c>
      <c r="O2" s="16" t="s">
        <v>268</v>
      </c>
      <c r="P2" s="16" t="s">
        <v>263</v>
      </c>
      <c r="Q2" s="16" t="s">
        <v>282</v>
      </c>
      <c r="R2" s="16" t="s">
        <v>269</v>
      </c>
      <c r="S2" s="18" t="s">
        <v>270</v>
      </c>
    </row>
    <row r="3" spans="1:19" x14ac:dyDescent="0.35">
      <c r="A3" t="s">
        <v>271</v>
      </c>
      <c r="B3">
        <v>35</v>
      </c>
      <c r="C3">
        <v>60</v>
      </c>
      <c r="D3">
        <v>50</v>
      </c>
      <c r="E3">
        <v>40</v>
      </c>
      <c r="F3">
        <f>SUM(B3:E3)</f>
        <v>185</v>
      </c>
      <c r="G3" t="s">
        <v>274</v>
      </c>
      <c r="H3">
        <v>0.25</v>
      </c>
      <c r="I3">
        <v>0.7</v>
      </c>
      <c r="J3">
        <v>0.35</v>
      </c>
      <c r="K3" s="16" t="s">
        <v>264</v>
      </c>
      <c r="L3">
        <v>1</v>
      </c>
      <c r="M3" t="s">
        <v>275</v>
      </c>
      <c r="N3" t="s">
        <v>279</v>
      </c>
      <c r="O3" t="s">
        <v>276</v>
      </c>
      <c r="P3" t="s">
        <v>277</v>
      </c>
      <c r="Q3" t="s">
        <v>280</v>
      </c>
      <c r="R3" t="s">
        <v>269</v>
      </c>
      <c r="S3" t="s">
        <v>281</v>
      </c>
    </row>
    <row r="4" spans="1:19" x14ac:dyDescent="0.35">
      <c r="A4" t="s">
        <v>272</v>
      </c>
      <c r="B4">
        <v>20</v>
      </c>
      <c r="C4">
        <v>40</v>
      </c>
      <c r="D4">
        <v>50</v>
      </c>
      <c r="E4">
        <v>40</v>
      </c>
      <c r="F4">
        <f>SUM(B4:E4)</f>
        <v>150</v>
      </c>
      <c r="G4" t="s">
        <v>283</v>
      </c>
      <c r="H4">
        <v>0.25</v>
      </c>
      <c r="I4">
        <v>0.7</v>
      </c>
      <c r="J4">
        <v>0.35</v>
      </c>
      <c r="K4" s="16" t="s">
        <v>264</v>
      </c>
      <c r="L4">
        <v>1</v>
      </c>
      <c r="M4" t="s">
        <v>284</v>
      </c>
      <c r="N4" t="s">
        <v>285</v>
      </c>
      <c r="O4" t="s">
        <v>253</v>
      </c>
      <c r="P4" t="s">
        <v>286</v>
      </c>
      <c r="Q4" t="s">
        <v>287</v>
      </c>
      <c r="R4" t="s">
        <v>269</v>
      </c>
      <c r="S4" t="s">
        <v>288</v>
      </c>
    </row>
    <row r="5" spans="1:19" x14ac:dyDescent="0.35">
      <c r="A5" t="s">
        <v>273</v>
      </c>
      <c r="B5">
        <v>20</v>
      </c>
      <c r="C5">
        <v>35</v>
      </c>
      <c r="D5">
        <v>35</v>
      </c>
      <c r="E5">
        <v>15</v>
      </c>
      <c r="F5">
        <f>SUM(B5:E5)</f>
        <v>105</v>
      </c>
      <c r="G5" t="s">
        <v>289</v>
      </c>
      <c r="H5">
        <v>0.25</v>
      </c>
      <c r="I5">
        <v>0.7</v>
      </c>
      <c r="J5">
        <v>0.35</v>
      </c>
      <c r="K5" s="16" t="s">
        <v>264</v>
      </c>
      <c r="L5">
        <v>1</v>
      </c>
      <c r="M5" t="s">
        <v>289</v>
      </c>
      <c r="N5" t="s">
        <v>285</v>
      </c>
      <c r="O5" t="s">
        <v>276</v>
      </c>
      <c r="P5" t="s">
        <v>289</v>
      </c>
      <c r="Q5" t="s">
        <v>282</v>
      </c>
      <c r="R5" t="s">
        <v>269</v>
      </c>
      <c r="S5" t="s">
        <v>290</v>
      </c>
    </row>
    <row r="6" spans="1:19" x14ac:dyDescent="0.35">
      <c r="A6" t="s">
        <v>12</v>
      </c>
      <c r="B6">
        <f>_xlfn.CEILING.MATH(AVERAGE(B2:B5))</f>
        <v>23</v>
      </c>
      <c r="C6">
        <f>_xlfn.CEILING.MATH(AVERAGE(C2:C5))</f>
        <v>42</v>
      </c>
      <c r="D6">
        <f t="shared" ref="D6:E6" si="0">_xlfn.CEILING.MATH(AVERAGE(D2:D5))</f>
        <v>47</v>
      </c>
      <c r="E6">
        <f t="shared" si="0"/>
        <v>34</v>
      </c>
      <c r="F6">
        <f>SUM(B6:E6)</f>
        <v>146</v>
      </c>
      <c r="H6">
        <v>0.25</v>
      </c>
      <c r="I6">
        <v>0.7</v>
      </c>
      <c r="J6">
        <v>0.35</v>
      </c>
      <c r="K6" s="16" t="s">
        <v>264</v>
      </c>
      <c r="L6">
        <v>1</v>
      </c>
      <c r="N6" t="s">
        <v>189</v>
      </c>
      <c r="Q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Crop_Productionorganized1</vt:lpstr>
      <vt:lpstr>Annual_Crops</vt:lpstr>
      <vt:lpstr>Perennial_Crops</vt:lpstr>
      <vt:lpstr>Sheet4</vt:lpstr>
      <vt:lpstr>Anise_Badian_Fennel_Coriander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Izabela Nowak</dc:creator>
  <cp:lastModifiedBy>Ahmed Afifi</cp:lastModifiedBy>
  <dcterms:created xsi:type="dcterms:W3CDTF">2022-04-03T22:47:41Z</dcterms:created>
  <dcterms:modified xsi:type="dcterms:W3CDTF">2025-01-07T09:17:25Z</dcterms:modified>
</cp:coreProperties>
</file>